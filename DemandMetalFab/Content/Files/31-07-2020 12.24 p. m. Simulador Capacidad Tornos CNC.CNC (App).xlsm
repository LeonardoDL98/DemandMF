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20370" yWindow="-120" windowWidth="20730" windowHeight="11160" firstSheet="1" activeTab="6"/>
  </bookViews>
  <sheets>
    <sheet name="Capacidad " sheetId="9" r:id="rId1"/>
    <sheet name="Demanda Anual" sheetId="8" r:id="rId2"/>
    <sheet name="Calculo Demanda" sheetId="15" r:id="rId3"/>
    <sheet name="Sector Maquina" sheetId="16" r:id="rId4"/>
    <sheet name="Matriz Tiempos" sheetId="5" r:id="rId5"/>
    <sheet name="Asignacion Maquina" sheetId="13" r:id="rId6"/>
    <sheet name="Calculos" sheetId="10" r:id="rId7"/>
    <sheet name="Driver" sheetId="12" r:id="rId8"/>
    <sheet name="Tiempo De Inspeccion" sheetId="14" r:id="rId9"/>
  </sheets>
  <functionGroups builtInGroupCount="17"/>
  <definedNames>
    <definedName name="_xlnm._FilterDatabase" localSheetId="5" hidden="1">'Asignacion Maquina'!$A$1:$N$1</definedName>
    <definedName name="_xlnm._FilterDatabase" localSheetId="7" hidden="1">Driver!$A$3:$AJ$78</definedName>
    <definedName name="_xlnm._FilterDatabase" localSheetId="4" hidden="1">'Matriz Tiempos'!$B$1:$M$76</definedName>
    <definedName name="_xlnm._FilterDatabase" localSheetId="8" hidden="1">'Tiempo De Inspeccion'!$B$3:$Z$78</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1" i="10" l="1"/>
  <c r="C2" i="10"/>
  <c r="D2" i="10"/>
  <c r="E2" i="10"/>
  <c r="F2" i="10"/>
  <c r="G2" i="10"/>
  <c r="H2" i="10"/>
  <c r="I2" i="10"/>
  <c r="B2" i="10"/>
  <c r="N8" i="9" l="1"/>
  <c r="N9" i="9"/>
  <c r="N10" i="9"/>
  <c r="N7" i="9"/>
  <c r="B8" i="10"/>
  <c r="D8" i="10"/>
  <c r="H8" i="10"/>
  <c r="F8" i="10"/>
  <c r="C8" i="10"/>
  <c r="E8" i="10"/>
  <c r="I8" i="10"/>
  <c r="G8" i="10"/>
  <c r="C2" i="15" l="1"/>
  <c r="C3" i="15" s="1"/>
  <c r="C7" i="15"/>
  <c r="C22" i="15"/>
  <c r="C21" i="15"/>
  <c r="C8" i="15"/>
  <c r="C5" i="15"/>
  <c r="C23" i="15"/>
  <c r="C17" i="15"/>
  <c r="C16" i="15"/>
  <c r="C14" i="15"/>
  <c r="C9" i="15"/>
  <c r="C15" i="15"/>
  <c r="C24" i="15"/>
  <c r="C19" i="15"/>
  <c r="C12" i="15"/>
  <c r="C6" i="15"/>
  <c r="C10" i="15"/>
  <c r="C11" i="15"/>
  <c r="C18" i="15"/>
  <c r="C13" i="15"/>
  <c r="C20" i="15"/>
  <c r="C4" i="15" l="1"/>
  <c r="H21" i="15"/>
  <c r="J6" i="15"/>
  <c r="I9" i="15"/>
  <c r="J21" i="15"/>
  <c r="H5" i="15"/>
  <c r="J17" i="15"/>
  <c r="H8" i="15"/>
  <c r="I13" i="15"/>
  <c r="I21" i="15"/>
  <c r="I7" i="15"/>
  <c r="H13" i="15"/>
  <c r="H9" i="15"/>
  <c r="J11" i="15"/>
  <c r="I15" i="15"/>
  <c r="I24" i="15"/>
  <c r="J23" i="15"/>
  <c r="I5" i="15"/>
  <c r="G16" i="15"/>
  <c r="H19" i="15"/>
  <c r="J8" i="15"/>
  <c r="J12" i="15"/>
  <c r="I17" i="15"/>
  <c r="G9" i="15"/>
  <c r="J5" i="15"/>
  <c r="H20" i="15"/>
  <c r="H17" i="15"/>
  <c r="I20" i="15"/>
  <c r="H14" i="15"/>
  <c r="I14" i="15"/>
  <c r="G17" i="15"/>
  <c r="G18" i="15"/>
  <c r="I18" i="15"/>
  <c r="G21" i="15"/>
  <c r="G15" i="15"/>
  <c r="G8" i="15"/>
  <c r="J19" i="15"/>
  <c r="J14" i="15"/>
  <c r="G6" i="15"/>
  <c r="G22" i="15"/>
  <c r="I22" i="15"/>
  <c r="H16" i="15"/>
  <c r="G13" i="15"/>
  <c r="I19" i="15"/>
  <c r="G24" i="15"/>
  <c r="J18" i="15"/>
  <c r="H11" i="15"/>
  <c r="G19" i="15"/>
  <c r="J24" i="15"/>
  <c r="H23" i="15"/>
  <c r="G14" i="15"/>
  <c r="G10" i="15"/>
  <c r="H12" i="15"/>
  <c r="H15" i="15"/>
  <c r="J20" i="15"/>
  <c r="J10" i="15"/>
  <c r="I6" i="15"/>
  <c r="J16" i="15"/>
  <c r="G7" i="15"/>
  <c r="I12" i="15"/>
  <c r="J7" i="15"/>
  <c r="H10" i="15"/>
  <c r="G12" i="15"/>
  <c r="I10" i="15"/>
  <c r="I23" i="15"/>
  <c r="I16" i="15"/>
  <c r="J22" i="15"/>
  <c r="H18" i="15"/>
  <c r="G11" i="15"/>
  <c r="J15" i="15"/>
  <c r="G5" i="15"/>
  <c r="I11" i="15"/>
  <c r="H6" i="15"/>
  <c r="J13" i="15"/>
  <c r="J9" i="15"/>
  <c r="G23" i="15"/>
  <c r="H22" i="15"/>
  <c r="H7" i="15"/>
  <c r="H24" i="15"/>
  <c r="G20" i="15"/>
  <c r="I8" i="15"/>
  <c r="S5" i="14" l="1"/>
  <c r="S6" i="14"/>
  <c r="S7" i="14"/>
  <c r="S8" i="14"/>
  <c r="S9" i="14"/>
  <c r="S10" i="14"/>
  <c r="S11" i="14"/>
  <c r="S12" i="14"/>
  <c r="S13" i="14"/>
  <c r="S14" i="14"/>
  <c r="S15" i="14"/>
  <c r="S16" i="14"/>
  <c r="S17" i="14"/>
  <c r="S18" i="14"/>
  <c r="S19" i="14"/>
  <c r="S20" i="14"/>
  <c r="S21" i="14"/>
  <c r="S22" i="14"/>
  <c r="S23" i="14"/>
  <c r="S24" i="14"/>
  <c r="S25" i="14"/>
  <c r="S26" i="14"/>
  <c r="S27" i="14"/>
  <c r="S28" i="14"/>
  <c r="S29" i="14"/>
  <c r="S30" i="14"/>
  <c r="S31" i="14"/>
  <c r="S32" i="14"/>
  <c r="S33" i="14"/>
  <c r="S34" i="14"/>
  <c r="S35" i="14"/>
  <c r="S36" i="14"/>
  <c r="S37" i="14"/>
  <c r="S38" i="14"/>
  <c r="S39" i="14"/>
  <c r="S40" i="14"/>
  <c r="S41" i="14"/>
  <c r="S42" i="14"/>
  <c r="S43" i="14"/>
  <c r="S44" i="14"/>
  <c r="S45" i="14"/>
  <c r="S46" i="14"/>
  <c r="S47" i="14"/>
  <c r="S48" i="14"/>
  <c r="S49" i="14"/>
  <c r="S50" i="14"/>
  <c r="S51" i="14"/>
  <c r="S52" i="14"/>
  <c r="S53" i="14"/>
  <c r="S54" i="14"/>
  <c r="S55" i="14"/>
  <c r="S56" i="14"/>
  <c r="S57" i="14"/>
  <c r="S58" i="14"/>
  <c r="S59" i="14"/>
  <c r="S60" i="14"/>
  <c r="S61" i="14"/>
  <c r="S62" i="14"/>
  <c r="S63" i="14"/>
  <c r="S64" i="14"/>
  <c r="S65" i="14"/>
  <c r="S66" i="14"/>
  <c r="S67" i="14"/>
  <c r="S68" i="14"/>
  <c r="S69" i="14"/>
  <c r="S70" i="14"/>
  <c r="S71" i="14"/>
  <c r="S72" i="14"/>
  <c r="S73" i="14"/>
  <c r="S74" i="14"/>
  <c r="S75" i="14"/>
  <c r="S76" i="14"/>
  <c r="S77" i="14"/>
  <c r="S78" i="14"/>
  <c r="S4" i="14"/>
  <c r="R5" i="14"/>
  <c r="R6" i="14"/>
  <c r="R7" i="14"/>
  <c r="R8" i="14"/>
  <c r="R9" i="14"/>
  <c r="R10" i="14"/>
  <c r="R11" i="14"/>
  <c r="R12" i="14"/>
  <c r="R13" i="14"/>
  <c r="R14" i="14"/>
  <c r="R15" i="14"/>
  <c r="R16" i="14"/>
  <c r="R17" i="14"/>
  <c r="R18" i="14"/>
  <c r="R19" i="14"/>
  <c r="R20" i="14"/>
  <c r="R21" i="14"/>
  <c r="R22" i="14"/>
  <c r="R23" i="14"/>
  <c r="R24" i="14"/>
  <c r="R25" i="14"/>
  <c r="R26" i="14"/>
  <c r="R27" i="14"/>
  <c r="R28" i="14"/>
  <c r="R29" i="14"/>
  <c r="R30" i="14"/>
  <c r="R31" i="14"/>
  <c r="R32" i="14"/>
  <c r="R33" i="14"/>
  <c r="R34" i="14"/>
  <c r="R35" i="14"/>
  <c r="R36" i="14"/>
  <c r="R37" i="14"/>
  <c r="R38" i="14"/>
  <c r="R39" i="14"/>
  <c r="R40" i="14"/>
  <c r="R41" i="14"/>
  <c r="R42" i="14"/>
  <c r="R43" i="14"/>
  <c r="R44" i="14"/>
  <c r="R45" i="14"/>
  <c r="R46" i="14"/>
  <c r="R47" i="14"/>
  <c r="R48" i="14"/>
  <c r="R49" i="14"/>
  <c r="R50" i="14"/>
  <c r="R51" i="14"/>
  <c r="R52" i="14"/>
  <c r="R53" i="14"/>
  <c r="R54" i="14"/>
  <c r="R55" i="14"/>
  <c r="R56" i="14"/>
  <c r="R57" i="14"/>
  <c r="R58" i="14"/>
  <c r="R59" i="14"/>
  <c r="R60" i="14"/>
  <c r="R61" i="14"/>
  <c r="R62" i="14"/>
  <c r="R63" i="14"/>
  <c r="R64" i="14"/>
  <c r="R65" i="14"/>
  <c r="R66" i="14"/>
  <c r="R67" i="14"/>
  <c r="R68" i="14"/>
  <c r="R69" i="14"/>
  <c r="R70" i="14"/>
  <c r="R71" i="14"/>
  <c r="R72" i="14"/>
  <c r="R73" i="14"/>
  <c r="R74" i="14"/>
  <c r="R75" i="14"/>
  <c r="R76" i="14"/>
  <c r="R77" i="14"/>
  <c r="R78" i="14"/>
  <c r="R4" i="14"/>
  <c r="Q5" i="14"/>
  <c r="Q6" i="14"/>
  <c r="Q7" i="14"/>
  <c r="Q8" i="14"/>
  <c r="Q9" i="14"/>
  <c r="Q10" i="14"/>
  <c r="Q11" i="14"/>
  <c r="Q12" i="14"/>
  <c r="Q13" i="14"/>
  <c r="Q14" i="14"/>
  <c r="Q15" i="14"/>
  <c r="Q16" i="14"/>
  <c r="Q17" i="14"/>
  <c r="Q18" i="14"/>
  <c r="Q19" i="14"/>
  <c r="Q20" i="14"/>
  <c r="Q21" i="14"/>
  <c r="Q22" i="14"/>
  <c r="Q23" i="14"/>
  <c r="Q24" i="14"/>
  <c r="Q25" i="14"/>
  <c r="Q26" i="14"/>
  <c r="Q27" i="14"/>
  <c r="Q28" i="14"/>
  <c r="Q29" i="14"/>
  <c r="Q30" i="14"/>
  <c r="Q31" i="14"/>
  <c r="Q32" i="14"/>
  <c r="Q33" i="14"/>
  <c r="Q34" i="14"/>
  <c r="Q35" i="14"/>
  <c r="Q36" i="14"/>
  <c r="Q37" i="14"/>
  <c r="Q38" i="14"/>
  <c r="Q39" i="14"/>
  <c r="Q40" i="14"/>
  <c r="Q41" i="14"/>
  <c r="Q42" i="14"/>
  <c r="Q43" i="14"/>
  <c r="Q44" i="14"/>
  <c r="Q45" i="14"/>
  <c r="Q46" i="14"/>
  <c r="Q47" i="14"/>
  <c r="Q48" i="14"/>
  <c r="Q49" i="14"/>
  <c r="Q50" i="14"/>
  <c r="Q51" i="14"/>
  <c r="Q52" i="14"/>
  <c r="Q53" i="14"/>
  <c r="Q54" i="14"/>
  <c r="Q55" i="14"/>
  <c r="Q56" i="14"/>
  <c r="Q57" i="14"/>
  <c r="Q58" i="14"/>
  <c r="Q59" i="14"/>
  <c r="Q60" i="14"/>
  <c r="Q61" i="14"/>
  <c r="Q62" i="14"/>
  <c r="Q63" i="14"/>
  <c r="Q64" i="14"/>
  <c r="Q65" i="14"/>
  <c r="Q66" i="14"/>
  <c r="Q67" i="14"/>
  <c r="Q68" i="14"/>
  <c r="Q69" i="14"/>
  <c r="Q70" i="14"/>
  <c r="Q71" i="14"/>
  <c r="Q72" i="14"/>
  <c r="Q73" i="14"/>
  <c r="Q74" i="14"/>
  <c r="Q75" i="14"/>
  <c r="Q76" i="14"/>
  <c r="Q77" i="14"/>
  <c r="Q78" i="14"/>
  <c r="Q4" i="14"/>
  <c r="P5" i="14"/>
  <c r="P6" i="14"/>
  <c r="P7" i="14"/>
  <c r="P8" i="14"/>
  <c r="P9" i="14"/>
  <c r="P10" i="14"/>
  <c r="P11" i="14"/>
  <c r="P12" i="14"/>
  <c r="P13" i="14"/>
  <c r="P14" i="14"/>
  <c r="P15" i="14"/>
  <c r="P16" i="14"/>
  <c r="P17" i="14"/>
  <c r="P18" i="14"/>
  <c r="P19" i="14"/>
  <c r="P20" i="14"/>
  <c r="P21" i="14"/>
  <c r="P22" i="14"/>
  <c r="P23" i="14"/>
  <c r="P24" i="14"/>
  <c r="P25" i="14"/>
  <c r="P26" i="14"/>
  <c r="P27" i="14"/>
  <c r="P28" i="14"/>
  <c r="P29" i="14"/>
  <c r="P30" i="14"/>
  <c r="P31" i="14"/>
  <c r="P32" i="14"/>
  <c r="P33" i="14"/>
  <c r="P34" i="14"/>
  <c r="P35" i="14"/>
  <c r="P36" i="14"/>
  <c r="P37" i="14"/>
  <c r="P38" i="14"/>
  <c r="P39" i="14"/>
  <c r="P40" i="14"/>
  <c r="P41" i="14"/>
  <c r="P42" i="14"/>
  <c r="P43" i="14"/>
  <c r="P44" i="14"/>
  <c r="P45" i="14"/>
  <c r="P46" i="14"/>
  <c r="P47" i="14"/>
  <c r="P48" i="14"/>
  <c r="P49" i="14"/>
  <c r="P50" i="14"/>
  <c r="P51" i="14"/>
  <c r="P52" i="14"/>
  <c r="P53" i="14"/>
  <c r="P54" i="14"/>
  <c r="P55" i="14"/>
  <c r="P56" i="14"/>
  <c r="P57" i="14"/>
  <c r="P58" i="14"/>
  <c r="P59" i="14"/>
  <c r="P60" i="14"/>
  <c r="P61" i="14"/>
  <c r="P62" i="14"/>
  <c r="P63" i="14"/>
  <c r="P64" i="14"/>
  <c r="P65" i="14"/>
  <c r="P66" i="14"/>
  <c r="P67" i="14"/>
  <c r="P68" i="14"/>
  <c r="P69" i="14"/>
  <c r="P70" i="14"/>
  <c r="P71" i="14"/>
  <c r="P72" i="14"/>
  <c r="P73" i="14"/>
  <c r="P74" i="14"/>
  <c r="P75" i="14"/>
  <c r="P76" i="14"/>
  <c r="P77" i="14"/>
  <c r="P78" i="14"/>
  <c r="P4" i="14"/>
  <c r="O5" i="14"/>
  <c r="O6" i="14"/>
  <c r="O7" i="14"/>
  <c r="O8" i="14"/>
  <c r="O9" i="14"/>
  <c r="O10" i="14"/>
  <c r="O11" i="14"/>
  <c r="O12" i="14"/>
  <c r="O13" i="14"/>
  <c r="O14" i="14"/>
  <c r="O15" i="14"/>
  <c r="O16" i="14"/>
  <c r="O17" i="14"/>
  <c r="O18" i="14"/>
  <c r="O19" i="14"/>
  <c r="O20" i="14"/>
  <c r="O21" i="14"/>
  <c r="O22" i="14"/>
  <c r="O23" i="14"/>
  <c r="O24" i="14"/>
  <c r="O25" i="14"/>
  <c r="O26" i="14"/>
  <c r="O27" i="14"/>
  <c r="O28" i="14"/>
  <c r="O29" i="14"/>
  <c r="O30" i="14"/>
  <c r="O31" i="14"/>
  <c r="O32" i="14"/>
  <c r="O33" i="14"/>
  <c r="O34" i="14"/>
  <c r="O35" i="14"/>
  <c r="O36" i="14"/>
  <c r="O37" i="14"/>
  <c r="O38" i="14"/>
  <c r="O39" i="14"/>
  <c r="O40" i="14"/>
  <c r="O41" i="14"/>
  <c r="O42" i="14"/>
  <c r="O43" i="14"/>
  <c r="O44" i="14"/>
  <c r="O45" i="14"/>
  <c r="O46" i="14"/>
  <c r="O47" i="14"/>
  <c r="O48" i="14"/>
  <c r="O49" i="14"/>
  <c r="O50" i="14"/>
  <c r="O51" i="14"/>
  <c r="O52" i="14"/>
  <c r="O53" i="14"/>
  <c r="O54" i="14"/>
  <c r="O55" i="14"/>
  <c r="O56" i="14"/>
  <c r="O57" i="14"/>
  <c r="O58" i="14"/>
  <c r="O59" i="14"/>
  <c r="O60" i="14"/>
  <c r="O61" i="14"/>
  <c r="O62" i="14"/>
  <c r="O63" i="14"/>
  <c r="O64" i="14"/>
  <c r="O65" i="14"/>
  <c r="O66" i="14"/>
  <c r="O67" i="14"/>
  <c r="O68" i="14"/>
  <c r="O69" i="14"/>
  <c r="O70" i="14"/>
  <c r="O71" i="14"/>
  <c r="O72" i="14"/>
  <c r="O73" i="14"/>
  <c r="O74" i="14"/>
  <c r="O75" i="14"/>
  <c r="O76" i="14"/>
  <c r="O77" i="14"/>
  <c r="O78" i="14"/>
  <c r="O4" i="14"/>
  <c r="N5" i="14"/>
  <c r="N6" i="14"/>
  <c r="N7" i="14"/>
  <c r="N8" i="14"/>
  <c r="N9" i="14"/>
  <c r="N10" i="14"/>
  <c r="N11" i="14"/>
  <c r="N12" i="14"/>
  <c r="N13" i="14"/>
  <c r="N14" i="14"/>
  <c r="N15" i="14"/>
  <c r="N16" i="14"/>
  <c r="N17" i="14"/>
  <c r="N18" i="14"/>
  <c r="N19" i="14"/>
  <c r="N20" i="14"/>
  <c r="N21" i="14"/>
  <c r="N22" i="14"/>
  <c r="N23" i="14"/>
  <c r="N24" i="14"/>
  <c r="N25" i="14"/>
  <c r="N26" i="14"/>
  <c r="N27" i="14"/>
  <c r="N28" i="14"/>
  <c r="N29" i="14"/>
  <c r="N30" i="14"/>
  <c r="N31" i="14"/>
  <c r="N32" i="14"/>
  <c r="N33" i="14"/>
  <c r="N34" i="14"/>
  <c r="N35" i="14"/>
  <c r="N36" i="14"/>
  <c r="N37" i="14"/>
  <c r="N38" i="14"/>
  <c r="N39" i="14"/>
  <c r="N40" i="14"/>
  <c r="N41" i="14"/>
  <c r="N42" i="14"/>
  <c r="N43" i="14"/>
  <c r="N44" i="14"/>
  <c r="N45" i="14"/>
  <c r="N46" i="14"/>
  <c r="N47" i="14"/>
  <c r="N48" i="14"/>
  <c r="N49" i="14"/>
  <c r="N50" i="14"/>
  <c r="N51" i="14"/>
  <c r="N52" i="14"/>
  <c r="N53" i="14"/>
  <c r="N54" i="14"/>
  <c r="N55" i="14"/>
  <c r="N56" i="14"/>
  <c r="N57" i="14"/>
  <c r="N58" i="14"/>
  <c r="N59" i="14"/>
  <c r="N60" i="14"/>
  <c r="N61" i="14"/>
  <c r="N62" i="14"/>
  <c r="N63" i="14"/>
  <c r="N64" i="14"/>
  <c r="N65" i="14"/>
  <c r="N66" i="14"/>
  <c r="N67" i="14"/>
  <c r="N68" i="14"/>
  <c r="N69" i="14"/>
  <c r="N70" i="14"/>
  <c r="N71" i="14"/>
  <c r="N72" i="14"/>
  <c r="N73" i="14"/>
  <c r="N74" i="14"/>
  <c r="N75" i="14"/>
  <c r="N76" i="14"/>
  <c r="N77" i="14"/>
  <c r="N78" i="14"/>
  <c r="N4" i="14"/>
  <c r="M5" i="14"/>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4" i="14"/>
  <c r="L5" i="14"/>
  <c r="L6" i="14"/>
  <c r="L7" i="14"/>
  <c r="L8" i="14"/>
  <c r="L9" i="14"/>
  <c r="L10" i="14"/>
  <c r="L11" i="14"/>
  <c r="L12" i="14"/>
  <c r="L13" i="14"/>
  <c r="L14" i="14"/>
  <c r="L15" i="14"/>
  <c r="L16" i="14"/>
  <c r="L17" i="14"/>
  <c r="L18" i="14"/>
  <c r="L19" i="14"/>
  <c r="L20" i="14"/>
  <c r="L21" i="14"/>
  <c r="L22" i="14"/>
  <c r="L23" i="14"/>
  <c r="L24" i="14"/>
  <c r="L25" i="14"/>
  <c r="L26" i="14"/>
  <c r="L27" i="14"/>
  <c r="L28" i="14"/>
  <c r="L29" i="14"/>
  <c r="L30" i="14"/>
  <c r="L31" i="14"/>
  <c r="L32" i="14"/>
  <c r="L33" i="14"/>
  <c r="L34" i="14"/>
  <c r="L35" i="14"/>
  <c r="L36" i="14"/>
  <c r="L37" i="14"/>
  <c r="L38" i="14"/>
  <c r="L39" i="14"/>
  <c r="L40" i="14"/>
  <c r="L41" i="14"/>
  <c r="L42" i="14"/>
  <c r="L43" i="14"/>
  <c r="L44" i="14"/>
  <c r="L45" i="14"/>
  <c r="L46" i="14"/>
  <c r="L47" i="14"/>
  <c r="L48" i="14"/>
  <c r="L49" i="14"/>
  <c r="L50" i="14"/>
  <c r="L51" i="14"/>
  <c r="L52" i="14"/>
  <c r="L53" i="14"/>
  <c r="L54" i="14"/>
  <c r="L55" i="14"/>
  <c r="L56" i="14"/>
  <c r="L57" i="14"/>
  <c r="L58" i="14"/>
  <c r="L59" i="14"/>
  <c r="L60" i="14"/>
  <c r="L61" i="14"/>
  <c r="L62" i="14"/>
  <c r="L63" i="14"/>
  <c r="L64" i="14"/>
  <c r="L65" i="14"/>
  <c r="L66" i="14"/>
  <c r="L67" i="14"/>
  <c r="L68" i="14"/>
  <c r="L69" i="14"/>
  <c r="L70" i="14"/>
  <c r="L71" i="14"/>
  <c r="L72" i="14"/>
  <c r="L73" i="14"/>
  <c r="L74" i="14"/>
  <c r="L75" i="14"/>
  <c r="L76" i="14"/>
  <c r="L77" i="14"/>
  <c r="L78" i="14"/>
  <c r="L4" i="14"/>
  <c r="K5" i="14"/>
  <c r="K6" i="14"/>
  <c r="K7" i="14"/>
  <c r="K8" i="14"/>
  <c r="K9" i="14"/>
  <c r="K10" i="14"/>
  <c r="K11" i="14"/>
  <c r="K12" i="14"/>
  <c r="K13" i="14"/>
  <c r="K14" i="14"/>
  <c r="K15" i="14"/>
  <c r="K16" i="14"/>
  <c r="K17" i="14"/>
  <c r="K18" i="14"/>
  <c r="K19" i="14"/>
  <c r="K20" i="14"/>
  <c r="K21" i="14"/>
  <c r="K22" i="14"/>
  <c r="K23" i="14"/>
  <c r="K24" i="14"/>
  <c r="K25" i="14"/>
  <c r="K26" i="14"/>
  <c r="K27" i="14"/>
  <c r="K28" i="14"/>
  <c r="K29" i="14"/>
  <c r="K30" i="14"/>
  <c r="K31" i="14"/>
  <c r="K32" i="14"/>
  <c r="K33" i="14"/>
  <c r="K34" i="14"/>
  <c r="K35" i="14"/>
  <c r="K36" i="14"/>
  <c r="K37" i="14"/>
  <c r="K38" i="14"/>
  <c r="K39" i="14"/>
  <c r="K40" i="14"/>
  <c r="K41" i="14"/>
  <c r="K42" i="14"/>
  <c r="K43" i="14"/>
  <c r="K44" i="14"/>
  <c r="K45" i="14"/>
  <c r="K46" i="14"/>
  <c r="K47" i="14"/>
  <c r="K48" i="14"/>
  <c r="K49" i="14"/>
  <c r="K50" i="14"/>
  <c r="K51" i="14"/>
  <c r="K52" i="14"/>
  <c r="K53" i="14"/>
  <c r="K54" i="14"/>
  <c r="K55" i="14"/>
  <c r="K56" i="14"/>
  <c r="K57" i="14"/>
  <c r="K58" i="14"/>
  <c r="K59" i="14"/>
  <c r="K60" i="14"/>
  <c r="K61" i="14"/>
  <c r="K62" i="14"/>
  <c r="K63" i="14"/>
  <c r="K64" i="14"/>
  <c r="K65" i="14"/>
  <c r="K66" i="14"/>
  <c r="K67" i="14"/>
  <c r="K68" i="14"/>
  <c r="K69" i="14"/>
  <c r="K70" i="14"/>
  <c r="K71" i="14"/>
  <c r="K72" i="14"/>
  <c r="K73" i="14"/>
  <c r="K74" i="14"/>
  <c r="K75" i="14"/>
  <c r="K76" i="14"/>
  <c r="K77" i="14"/>
  <c r="K78" i="14"/>
  <c r="K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4" i="14"/>
  <c r="I5" i="14"/>
  <c r="I6" i="14"/>
  <c r="I7" i="14"/>
  <c r="I8" i="14"/>
  <c r="I9" i="14"/>
  <c r="I10" i="14"/>
  <c r="I11" i="14"/>
  <c r="I12" i="14"/>
  <c r="I13" i="14"/>
  <c r="I14" i="14"/>
  <c r="I15" i="14"/>
  <c r="I16" i="14"/>
  <c r="I17" i="14"/>
  <c r="I18" i="14"/>
  <c r="I19" i="14"/>
  <c r="I20" i="14"/>
  <c r="I21" i="14"/>
  <c r="I22" i="14"/>
  <c r="I23" i="14"/>
  <c r="I24" i="14"/>
  <c r="I25" i="14"/>
  <c r="I26" i="14"/>
  <c r="I27" i="14"/>
  <c r="I28" i="14"/>
  <c r="I29" i="14"/>
  <c r="I30" i="14"/>
  <c r="I31" i="14"/>
  <c r="I32" i="14"/>
  <c r="I33" i="14"/>
  <c r="I34" i="14"/>
  <c r="I35" i="14"/>
  <c r="I36" i="14"/>
  <c r="I37" i="14"/>
  <c r="I38" i="14"/>
  <c r="I39" i="14"/>
  <c r="I40" i="14"/>
  <c r="I41" i="14"/>
  <c r="I42" i="14"/>
  <c r="I43" i="14"/>
  <c r="I44" i="14"/>
  <c r="I45" i="14"/>
  <c r="I46" i="14"/>
  <c r="I47" i="14"/>
  <c r="I48" i="14"/>
  <c r="I49" i="14"/>
  <c r="I50" i="14"/>
  <c r="I51" i="14"/>
  <c r="I52" i="14"/>
  <c r="I53" i="14"/>
  <c r="I54" i="14"/>
  <c r="I55" i="14"/>
  <c r="I56" i="14"/>
  <c r="I57" i="14"/>
  <c r="I58" i="14"/>
  <c r="I59" i="14"/>
  <c r="I60" i="14"/>
  <c r="I61" i="14"/>
  <c r="I62" i="14"/>
  <c r="I63" i="14"/>
  <c r="I64" i="14"/>
  <c r="I65" i="14"/>
  <c r="I66" i="14"/>
  <c r="I67" i="14"/>
  <c r="I68" i="14"/>
  <c r="I69" i="14"/>
  <c r="I70" i="14"/>
  <c r="I71" i="14"/>
  <c r="I72" i="14"/>
  <c r="I73" i="14"/>
  <c r="I74" i="14"/>
  <c r="I75" i="14"/>
  <c r="I76" i="14"/>
  <c r="I77" i="14"/>
  <c r="I78" i="14"/>
  <c r="I4" i="14"/>
  <c r="H5" i="14"/>
  <c r="H6" i="14"/>
  <c r="H7" i="14"/>
  <c r="H8" i="14"/>
  <c r="H9" i="14"/>
  <c r="H10" i="14"/>
  <c r="H11" i="14"/>
  <c r="H12" i="14"/>
  <c r="H13" i="14"/>
  <c r="H14" i="14"/>
  <c r="H15" i="14"/>
  <c r="H16" i="14"/>
  <c r="H17" i="14"/>
  <c r="H18" i="14"/>
  <c r="H19" i="14"/>
  <c r="H20" i="14"/>
  <c r="H21" i="14"/>
  <c r="H22" i="14"/>
  <c r="H23" i="14"/>
  <c r="H24" i="14"/>
  <c r="H25" i="14"/>
  <c r="H26" i="14"/>
  <c r="H27" i="14"/>
  <c r="H28" i="14"/>
  <c r="H29" i="14"/>
  <c r="H30" i="14"/>
  <c r="H31" i="14"/>
  <c r="H32" i="14"/>
  <c r="H33" i="14"/>
  <c r="H34" i="14"/>
  <c r="H35" i="14"/>
  <c r="H36" i="14"/>
  <c r="H37" i="14"/>
  <c r="H38" i="14"/>
  <c r="H39" i="14"/>
  <c r="H40" i="14"/>
  <c r="H41" i="14"/>
  <c r="H42" i="14"/>
  <c r="H43" i="14"/>
  <c r="H44" i="14"/>
  <c r="H45" i="14"/>
  <c r="H46" i="14"/>
  <c r="H47" i="14"/>
  <c r="H48" i="14"/>
  <c r="H49" i="14"/>
  <c r="H50" i="14"/>
  <c r="H51" i="14"/>
  <c r="H52" i="14"/>
  <c r="H53" i="14"/>
  <c r="H54" i="14"/>
  <c r="H55" i="14"/>
  <c r="H56" i="14"/>
  <c r="H57" i="14"/>
  <c r="H58" i="14"/>
  <c r="H59" i="14"/>
  <c r="H60" i="14"/>
  <c r="H61" i="14"/>
  <c r="H62" i="14"/>
  <c r="H63" i="14"/>
  <c r="H64" i="14"/>
  <c r="H65" i="14"/>
  <c r="H66" i="14"/>
  <c r="H67" i="14"/>
  <c r="H68" i="14"/>
  <c r="H69" i="14"/>
  <c r="H70" i="14"/>
  <c r="H71" i="14"/>
  <c r="H72" i="14"/>
  <c r="H73" i="14"/>
  <c r="H74" i="14"/>
  <c r="H75" i="14"/>
  <c r="H76" i="14"/>
  <c r="H77" i="14"/>
  <c r="H78" i="14"/>
  <c r="H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4" i="14"/>
  <c r="F5" i="14"/>
  <c r="V13" i="14"/>
  <c r="V15" i="14"/>
  <c r="V17" i="14"/>
  <c r="V19" i="14"/>
  <c r="V21" i="14"/>
  <c r="V23" i="14"/>
  <c r="V25" i="14"/>
  <c r="V27" i="14"/>
  <c r="V29" i="14"/>
  <c r="V31" i="14"/>
  <c r="V33" i="14"/>
  <c r="V35" i="14"/>
  <c r="V37" i="14"/>
  <c r="V39" i="14"/>
  <c r="V42" i="14"/>
  <c r="F4"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8" i="14"/>
  <c r="F6" i="14"/>
  <c r="F7" i="14"/>
  <c r="V7" i="14"/>
  <c r="V9" i="14"/>
  <c r="V11" i="14"/>
  <c r="V14" i="14"/>
  <c r="V20" i="14"/>
  <c r="V4" i="14"/>
  <c r="U9" i="14"/>
  <c r="U13" i="14"/>
  <c r="U17" i="14"/>
  <c r="T5" i="14"/>
  <c r="T7" i="14"/>
  <c r="T9" i="14"/>
  <c r="T11" i="14"/>
  <c r="T13" i="14"/>
  <c r="T15" i="14"/>
  <c r="T17" i="14"/>
  <c r="T19" i="14"/>
  <c r="T21" i="14"/>
  <c r="T23" i="14"/>
  <c r="T25" i="14"/>
  <c r="T27" i="14"/>
  <c r="T29" i="14"/>
  <c r="T4" i="14"/>
  <c r="G52" i="12"/>
  <c r="G36" i="12"/>
  <c r="G76" i="12"/>
  <c r="G62" i="12"/>
  <c r="G39" i="12"/>
  <c r="G29" i="12"/>
  <c r="G67" i="12"/>
  <c r="G20" i="12"/>
  <c r="G71" i="12"/>
  <c r="G41" i="12"/>
  <c r="G74" i="12"/>
  <c r="G28" i="12"/>
  <c r="G73" i="12"/>
  <c r="G48" i="12"/>
  <c r="G17" i="12"/>
  <c r="G33" i="12"/>
  <c r="G63" i="12"/>
  <c r="G15" i="12"/>
  <c r="G46" i="12"/>
  <c r="G18" i="12"/>
  <c r="G24" i="12"/>
  <c r="G60" i="12"/>
  <c r="G66" i="12"/>
  <c r="G77" i="12"/>
  <c r="G42" i="12"/>
  <c r="G27" i="12"/>
  <c r="G50" i="12"/>
  <c r="G7" i="12"/>
  <c r="G65" i="12"/>
  <c r="G40" i="12"/>
  <c r="G11" i="12"/>
  <c r="G47" i="12"/>
  <c r="G22" i="12"/>
  <c r="G57" i="12"/>
  <c r="G13" i="12"/>
  <c r="G72" i="12"/>
  <c r="G43" i="12"/>
  <c r="G70" i="12"/>
  <c r="G59" i="12"/>
  <c r="G51" i="12"/>
  <c r="G10" i="12"/>
  <c r="G44" i="12"/>
  <c r="G37" i="12"/>
  <c r="G69" i="12"/>
  <c r="G32" i="12"/>
  <c r="G26" i="12"/>
  <c r="G64" i="12"/>
  <c r="G53" i="12"/>
  <c r="G16" i="12"/>
  <c r="G61" i="12"/>
  <c r="G68" i="12"/>
  <c r="G19" i="12"/>
  <c r="G75" i="12"/>
  <c r="G23" i="12"/>
  <c r="G30" i="12"/>
  <c r="G38" i="12"/>
  <c r="G56" i="12"/>
  <c r="G45" i="12"/>
  <c r="G58" i="12"/>
  <c r="G35" i="12"/>
  <c r="G34" i="12"/>
  <c r="G6" i="12"/>
  <c r="G49" i="12"/>
  <c r="G9" i="12"/>
  <c r="G5" i="12"/>
  <c r="G12" i="12"/>
  <c r="G14" i="12"/>
  <c r="G4" i="12"/>
  <c r="G25" i="12"/>
  <c r="G78" i="12"/>
  <c r="G21" i="12"/>
  <c r="G31" i="12"/>
  <c r="G8" i="12"/>
  <c r="G54" i="12"/>
  <c r="G55" i="12"/>
  <c r="U34" i="14" l="1"/>
  <c r="U20" i="14"/>
  <c r="U12" i="14"/>
  <c r="U16" i="14"/>
  <c r="U19" i="14"/>
  <c r="U22" i="14"/>
  <c r="U24" i="14"/>
  <c r="U15" i="14"/>
  <c r="U11" i="14"/>
  <c r="U74" i="14"/>
  <c r="U26" i="14"/>
  <c r="U18" i="14"/>
  <c r="U14" i="14"/>
  <c r="U10" i="14"/>
  <c r="U7" i="14"/>
  <c r="U6" i="14"/>
  <c r="U4" i="14"/>
  <c r="U8" i="14"/>
  <c r="T31" i="14"/>
  <c r="V16" i="14"/>
  <c r="T14" i="14"/>
  <c r="T12" i="14"/>
  <c r="V12" i="14"/>
  <c r="T10" i="14"/>
  <c r="V10" i="14"/>
  <c r="T8" i="14"/>
  <c r="V8" i="14"/>
  <c r="T6" i="14"/>
  <c r="V6" i="14"/>
  <c r="V30" i="14"/>
  <c r="T28" i="14"/>
  <c r="T26" i="14"/>
  <c r="T24" i="14"/>
  <c r="V22" i="14"/>
  <c r="V18" i="14"/>
  <c r="V77" i="14"/>
  <c r="V41" i="14"/>
  <c r="V38" i="14"/>
  <c r="U38" i="14"/>
  <c r="V36" i="14"/>
  <c r="V34" i="14"/>
  <c r="T32" i="14"/>
  <c r="V32" i="14"/>
  <c r="T30" i="14"/>
  <c r="U30" i="14"/>
  <c r="V28" i="14"/>
  <c r="V26" i="14"/>
  <c r="V24" i="14"/>
  <c r="V78" i="14"/>
  <c r="V49" i="14"/>
  <c r="V47" i="14"/>
  <c r="V45" i="14"/>
  <c r="V43" i="14"/>
  <c r="V40" i="14"/>
  <c r="V48" i="14"/>
  <c r="U46" i="14"/>
  <c r="V44" i="14"/>
  <c r="U42" i="14"/>
  <c r="T38" i="14"/>
  <c r="U36" i="14"/>
  <c r="T34" i="14"/>
  <c r="U32" i="14"/>
  <c r="U28" i="14"/>
  <c r="U54" i="14"/>
  <c r="V52" i="14"/>
  <c r="V55" i="14"/>
  <c r="V53" i="14"/>
  <c r="V51" i="14"/>
  <c r="T48" i="14"/>
  <c r="U48" i="14"/>
  <c r="U44" i="14"/>
  <c r="U40" i="14"/>
  <c r="T35" i="14"/>
  <c r="U35" i="14"/>
  <c r="T33" i="14"/>
  <c r="U33" i="14"/>
  <c r="U31" i="14"/>
  <c r="U29" i="14"/>
  <c r="U27" i="14"/>
  <c r="U25" i="14"/>
  <c r="U23" i="14"/>
  <c r="U21" i="14"/>
  <c r="V70" i="14"/>
  <c r="U52" i="14"/>
  <c r="T78" i="14"/>
  <c r="U77" i="14"/>
  <c r="U64" i="14"/>
  <c r="V76" i="14"/>
  <c r="V73" i="14"/>
  <c r="V71" i="14"/>
  <c r="U66" i="14"/>
  <c r="V63" i="14"/>
  <c r="V59" i="14"/>
  <c r="V57" i="14"/>
  <c r="V75" i="14"/>
  <c r="V74" i="14"/>
  <c r="V65" i="14"/>
  <c r="V64" i="14"/>
  <c r="U62" i="14"/>
  <c r="U58" i="14"/>
  <c r="T55" i="14"/>
  <c r="U55" i="14"/>
  <c r="U53" i="14"/>
  <c r="U51" i="14"/>
  <c r="T49" i="14"/>
  <c r="U49" i="14"/>
  <c r="T47" i="14"/>
  <c r="U47" i="14"/>
  <c r="T45" i="14"/>
  <c r="U45" i="14"/>
  <c r="T43" i="14"/>
  <c r="U43" i="14"/>
  <c r="T41" i="14"/>
  <c r="U41" i="14"/>
  <c r="T39" i="14"/>
  <c r="U39" i="14"/>
  <c r="T37" i="14"/>
  <c r="U37" i="14"/>
  <c r="U75" i="14"/>
  <c r="U73" i="14"/>
  <c r="U71" i="14"/>
  <c r="U65" i="14"/>
  <c r="U63" i="14"/>
  <c r="U59" i="14"/>
  <c r="U57" i="14"/>
  <c r="T53" i="14"/>
  <c r="U78" i="14"/>
  <c r="U76" i="14"/>
  <c r="V5" i="14"/>
  <c r="U5" i="14"/>
  <c r="T51" i="14" l="1"/>
  <c r="T44" i="14"/>
  <c r="T18" i="14"/>
  <c r="T20" i="14"/>
  <c r="T36" i="14"/>
  <c r="T22" i="14"/>
  <c r="V46" i="14"/>
  <c r="U70" i="14"/>
  <c r="V54" i="14"/>
  <c r="V50" i="14"/>
  <c r="U50" i="14"/>
  <c r="V56" i="14"/>
  <c r="V61" i="14"/>
  <c r="V69" i="14"/>
  <c r="V72" i="14"/>
  <c r="U61" i="14"/>
  <c r="V68" i="14"/>
  <c r="U56" i="14"/>
  <c r="V58" i="14"/>
  <c r="T64" i="14"/>
  <c r="T65" i="14"/>
  <c r="U72" i="14"/>
  <c r="V66" i="14"/>
  <c r="T70" i="14"/>
  <c r="V60" i="14"/>
  <c r="V67" i="14"/>
  <c r="U67" i="14"/>
  <c r="U69" i="14"/>
  <c r="U60" i="14"/>
  <c r="V62" i="14"/>
  <c r="U68" i="14"/>
  <c r="T16" i="14" l="1"/>
  <c r="T77" i="14"/>
  <c r="T42" i="14"/>
  <c r="T40" i="14"/>
  <c r="T63" i="14"/>
  <c r="T59" i="14"/>
  <c r="T57" i="14"/>
  <c r="T75" i="14"/>
  <c r="T52" i="14"/>
  <c r="T76" i="14"/>
  <c r="T74" i="14"/>
  <c r="T73" i="14"/>
  <c r="T71" i="14"/>
  <c r="T58" i="14"/>
  <c r="T62" i="14" l="1"/>
  <c r="T66" i="14"/>
  <c r="T46" i="14"/>
  <c r="T54" i="14"/>
  <c r="T50" i="14"/>
  <c r="T61" i="14"/>
  <c r="T69" i="14"/>
  <c r="T60" i="14"/>
  <c r="T56" i="14"/>
  <c r="T72" i="14"/>
  <c r="T68" i="14"/>
  <c r="T67" i="14"/>
  <c r="F2" i="5" l="1"/>
  <c r="O2" i="5" s="1"/>
  <c r="N2" i="5"/>
  <c r="I76" i="5" l="1"/>
  <c r="I75" i="5"/>
  <c r="I74" i="5"/>
  <c r="I73" i="5"/>
  <c r="I72" i="5"/>
  <c r="I71" i="5"/>
  <c r="I70" i="5"/>
  <c r="I69" i="5"/>
  <c r="I68" i="5"/>
  <c r="I67" i="5"/>
  <c r="I66" i="5"/>
  <c r="I65" i="5"/>
  <c r="I64" i="5"/>
  <c r="I63" i="5"/>
  <c r="I62" i="5"/>
  <c r="I61" i="5"/>
  <c r="I60" i="5"/>
  <c r="I59" i="5"/>
  <c r="I58" i="5"/>
  <c r="I57" i="5"/>
  <c r="I56" i="5"/>
  <c r="I55" i="5"/>
  <c r="I54" i="5"/>
  <c r="I53" i="5"/>
  <c r="I52" i="5"/>
  <c r="I51" i="5"/>
  <c r="I50" i="5"/>
  <c r="I49" i="5"/>
  <c r="I48" i="5"/>
  <c r="I47" i="5"/>
  <c r="I46" i="5"/>
  <c r="I45" i="5"/>
  <c r="I44" i="5"/>
  <c r="I43" i="5"/>
  <c r="I42" i="5"/>
  <c r="I41" i="5"/>
  <c r="I40" i="5"/>
  <c r="I39" i="5"/>
  <c r="I38" i="5"/>
  <c r="I37" i="5"/>
  <c r="I36" i="5"/>
  <c r="I35" i="5"/>
  <c r="I34" i="5"/>
  <c r="I33" i="5"/>
  <c r="I32" i="5"/>
  <c r="I31" i="5"/>
  <c r="I30" i="5"/>
  <c r="I29" i="5"/>
  <c r="I28" i="5"/>
  <c r="I27" i="5"/>
  <c r="I26" i="5"/>
  <c r="I25" i="5"/>
  <c r="I24" i="5"/>
  <c r="I23" i="5"/>
  <c r="I22" i="5"/>
  <c r="I21" i="5"/>
  <c r="I20" i="5"/>
  <c r="I19" i="5"/>
  <c r="I18" i="5"/>
  <c r="I17" i="5"/>
  <c r="I16" i="5"/>
  <c r="I15" i="5"/>
  <c r="I14" i="5"/>
  <c r="I13" i="5"/>
  <c r="I12" i="5"/>
  <c r="I11" i="5"/>
  <c r="I10" i="5"/>
  <c r="I8" i="5"/>
  <c r="I7" i="5"/>
  <c r="I6" i="5"/>
  <c r="I4" i="5"/>
  <c r="I3" i="5"/>
  <c r="I2" i="5"/>
  <c r="AI55" i="12"/>
  <c r="AJ55" i="12" s="1"/>
  <c r="AI52" i="12"/>
  <c r="AJ52" i="12" s="1"/>
  <c r="AI36" i="12"/>
  <c r="AI76" i="12"/>
  <c r="AI62" i="12"/>
  <c r="AI39" i="12"/>
  <c r="AI29" i="12"/>
  <c r="AI67" i="12"/>
  <c r="AI20" i="12"/>
  <c r="AI71" i="12"/>
  <c r="AI41" i="12"/>
  <c r="AI74" i="12"/>
  <c r="AI28" i="12"/>
  <c r="AI73" i="12"/>
  <c r="AI48" i="12"/>
  <c r="AI17" i="12"/>
  <c r="AI33" i="12"/>
  <c r="AI63" i="12"/>
  <c r="AI15" i="12"/>
  <c r="AI46" i="12"/>
  <c r="AI18" i="12"/>
  <c r="AI24" i="12"/>
  <c r="AI60" i="12"/>
  <c r="AI66" i="12"/>
  <c r="AI77" i="12"/>
  <c r="AI42" i="12"/>
  <c r="AI27" i="12"/>
  <c r="AI50" i="12"/>
  <c r="AI7" i="12"/>
  <c r="AI65" i="12"/>
  <c r="AI40" i="12"/>
  <c r="AI11" i="12"/>
  <c r="AI47" i="12"/>
  <c r="AI22" i="12"/>
  <c r="AI57" i="12"/>
  <c r="AI13" i="12"/>
  <c r="AI72" i="12"/>
  <c r="AI43" i="12"/>
  <c r="AI70" i="12"/>
  <c r="AI59" i="12"/>
  <c r="AI51" i="12"/>
  <c r="AI10" i="12"/>
  <c r="AI44" i="12"/>
  <c r="AI37" i="12"/>
  <c r="AI69" i="12"/>
  <c r="AI32" i="12"/>
  <c r="AI26" i="12"/>
  <c r="AI64" i="12"/>
  <c r="AI53" i="12"/>
  <c r="AI16" i="12"/>
  <c r="AI61" i="12"/>
  <c r="AI68" i="12"/>
  <c r="AI19" i="12"/>
  <c r="AI75" i="12"/>
  <c r="AI23" i="12"/>
  <c r="AI30" i="12"/>
  <c r="AI38" i="12"/>
  <c r="AI56" i="12"/>
  <c r="AI45" i="12"/>
  <c r="AI58" i="12"/>
  <c r="AI35" i="12"/>
  <c r="AI34" i="12"/>
  <c r="AI6" i="12"/>
  <c r="AI49" i="12"/>
  <c r="AI9" i="12"/>
  <c r="AI5" i="12"/>
  <c r="AI12" i="12"/>
  <c r="AI14" i="12"/>
  <c r="AI4" i="12"/>
  <c r="AI25" i="12"/>
  <c r="AI78" i="12"/>
  <c r="AI21" i="12"/>
  <c r="AI31" i="12"/>
  <c r="AI8" i="12"/>
  <c r="AI54" i="12"/>
  <c r="AG7" i="12"/>
  <c r="AG11" i="12"/>
  <c r="AE10" i="12"/>
  <c r="AE4" i="12"/>
  <c r="AE5" i="12"/>
  <c r="AE6" i="12"/>
  <c r="AG40" i="12" l="1"/>
  <c r="AH40" i="12" s="1"/>
  <c r="H38" i="5" s="1"/>
  <c r="AG35" i="12"/>
  <c r="AH35" i="12" s="1"/>
  <c r="H33" i="5" s="1"/>
  <c r="AG42" i="12"/>
  <c r="AH42" i="12" s="1"/>
  <c r="H40" i="5" s="1"/>
  <c r="AG36" i="12"/>
  <c r="AH36" i="12" s="1"/>
  <c r="H34" i="5" s="1"/>
  <c r="AG37" i="12"/>
  <c r="AH37" i="12" s="1"/>
  <c r="H35" i="5" s="1"/>
  <c r="AG38" i="12"/>
  <c r="AH38" i="12" s="1"/>
  <c r="H36" i="5" s="1"/>
  <c r="AG46" i="12"/>
  <c r="AH46" i="12" s="1"/>
  <c r="H44" i="5" s="1"/>
  <c r="AG47" i="12"/>
  <c r="AH47" i="12" s="1"/>
  <c r="H45" i="5" s="1"/>
  <c r="AG10" i="12"/>
  <c r="AH10" i="12" s="1"/>
  <c r="H8" i="5" s="1"/>
  <c r="AG48" i="12"/>
  <c r="AH48" i="12" s="1"/>
  <c r="H46" i="5" s="1"/>
  <c r="AG49" i="12"/>
  <c r="AH49" i="12" s="1"/>
  <c r="H47" i="5" s="1"/>
  <c r="AG50" i="12"/>
  <c r="AH50" i="12" s="1"/>
  <c r="H48" i="5" s="1"/>
  <c r="AG26" i="12"/>
  <c r="AH26" i="12" s="1"/>
  <c r="H24" i="5" s="1"/>
  <c r="AG13" i="12"/>
  <c r="AH13" i="12" s="1"/>
  <c r="H11" i="5" s="1"/>
  <c r="AG25" i="12"/>
  <c r="AH25" i="12" s="1"/>
  <c r="H23" i="5" s="1"/>
  <c r="AG15" i="12"/>
  <c r="AH15" i="12" s="1"/>
  <c r="H13" i="5" s="1"/>
  <c r="AG16" i="12"/>
  <c r="AH16" i="12" s="1"/>
  <c r="H14" i="5" s="1"/>
  <c r="AG9" i="12"/>
  <c r="AH9" i="12" s="1"/>
  <c r="H7" i="5" s="1"/>
  <c r="AG41" i="12"/>
  <c r="AH41" i="12" s="1"/>
  <c r="H39" i="5" s="1"/>
  <c r="AG52" i="12"/>
  <c r="AH52" i="12" s="1"/>
  <c r="H50" i="5" s="1"/>
  <c r="AG53" i="12"/>
  <c r="AH53" i="12" s="1"/>
  <c r="H51" i="5" s="1"/>
  <c r="AG54" i="12"/>
  <c r="AH54" i="12" s="1"/>
  <c r="H52" i="5" s="1"/>
  <c r="AG55" i="12"/>
  <c r="AH55" i="12" s="1"/>
  <c r="H53" i="5" s="1"/>
  <c r="AG56" i="12"/>
  <c r="AH56" i="12" s="1"/>
  <c r="H54" i="5" s="1"/>
  <c r="AG57" i="12"/>
  <c r="AH57" i="12" s="1"/>
  <c r="H55" i="5" s="1"/>
  <c r="AG58" i="12"/>
  <c r="AH58" i="12" s="1"/>
  <c r="H56" i="5" s="1"/>
  <c r="AG59" i="12"/>
  <c r="AH59" i="12" s="1"/>
  <c r="H57" i="5" s="1"/>
  <c r="AG17" i="12"/>
  <c r="AH17" i="12" s="1"/>
  <c r="H15" i="5" s="1"/>
  <c r="AG5" i="12"/>
  <c r="AH5" i="12" s="1"/>
  <c r="H3" i="5" s="1"/>
  <c r="AG60" i="12"/>
  <c r="AH60" i="12" s="1"/>
  <c r="H58" i="5" s="1"/>
  <c r="AG4" i="12"/>
  <c r="AH4" i="12" s="1"/>
  <c r="H2" i="5" s="1"/>
  <c r="J2" i="5" s="1"/>
  <c r="L2" i="5" s="1"/>
  <c r="AG61" i="12"/>
  <c r="AH61" i="12" s="1"/>
  <c r="H59" i="5" s="1"/>
  <c r="AH7" i="12"/>
  <c r="AG62" i="12"/>
  <c r="AH62" i="12" s="1"/>
  <c r="H60" i="5" s="1"/>
  <c r="AG18" i="12"/>
  <c r="AH18" i="12" s="1"/>
  <c r="H16" i="5" s="1"/>
  <c r="AG19" i="12"/>
  <c r="AH19" i="12" s="1"/>
  <c r="H17" i="5" s="1"/>
  <c r="AG28" i="12"/>
  <c r="AH28" i="12" s="1"/>
  <c r="H26" i="5" s="1"/>
  <c r="AG29" i="12"/>
  <c r="AH29" i="12" s="1"/>
  <c r="H27" i="5" s="1"/>
  <c r="AG8" i="12"/>
  <c r="AH8" i="12" s="1"/>
  <c r="H6" i="5" s="1"/>
  <c r="AH11" i="12"/>
  <c r="AG20" i="12"/>
  <c r="AH20" i="12" s="1"/>
  <c r="H18" i="5" s="1"/>
  <c r="AG21" i="12"/>
  <c r="AH21" i="12" s="1"/>
  <c r="H19" i="5" s="1"/>
  <c r="AG63" i="12"/>
  <c r="AH63" i="12" s="1"/>
  <c r="H61" i="5" s="1"/>
  <c r="AG31" i="12"/>
  <c r="AH31" i="12" s="1"/>
  <c r="H29" i="5" s="1"/>
  <c r="AG30" i="12"/>
  <c r="AH30" i="12" s="1"/>
  <c r="H28" i="5" s="1"/>
  <c r="AG22" i="12"/>
  <c r="AH22" i="12" s="1"/>
  <c r="H20" i="5" s="1"/>
  <c r="AG23" i="12"/>
  <c r="AH23" i="12" s="1"/>
  <c r="H21" i="5" s="1"/>
  <c r="AG32" i="12"/>
  <c r="AH32" i="12" s="1"/>
  <c r="H30" i="5" s="1"/>
  <c r="AG43" i="12"/>
  <c r="AH43" i="12" s="1"/>
  <c r="H41" i="5" s="1"/>
  <c r="AG65" i="12"/>
  <c r="AH65" i="12" s="1"/>
  <c r="H63" i="5" s="1"/>
  <c r="AG66" i="12"/>
  <c r="AH66" i="12" s="1"/>
  <c r="H64" i="5" s="1"/>
  <c r="AG67" i="12"/>
  <c r="AH67" i="12" s="1"/>
  <c r="H65" i="5" s="1"/>
  <c r="AG44" i="12"/>
  <c r="AH44" i="12" s="1"/>
  <c r="H42" i="5" s="1"/>
  <c r="AG45" i="12"/>
  <c r="AH45" i="12" s="1"/>
  <c r="H43" i="5" s="1"/>
  <c r="AG69" i="12"/>
  <c r="AH69" i="12" s="1"/>
  <c r="H67" i="5" s="1"/>
  <c r="AG51" i="12"/>
  <c r="AH51" i="12" s="1"/>
  <c r="H49" i="5" s="1"/>
  <c r="AG71" i="12"/>
  <c r="AH71" i="12" s="1"/>
  <c r="H69" i="5" s="1"/>
  <c r="AG72" i="12"/>
  <c r="AH72" i="12" s="1"/>
  <c r="H70" i="5" s="1"/>
  <c r="AG27" i="12"/>
  <c r="AH27" i="12" s="1"/>
  <c r="H25" i="5" s="1"/>
  <c r="AG73" i="12"/>
  <c r="AH73" i="12" s="1"/>
  <c r="H71" i="5" s="1"/>
  <c r="AG12" i="12"/>
  <c r="AH12" i="12" s="1"/>
  <c r="H10" i="5" s="1"/>
  <c r="AG74" i="12"/>
  <c r="AH74" i="12" s="1"/>
  <c r="H72" i="5" s="1"/>
  <c r="AG24" i="12"/>
  <c r="AH24" i="12" s="1"/>
  <c r="H22" i="5" s="1"/>
  <c r="AG75" i="12"/>
  <c r="AH75" i="12" s="1"/>
  <c r="H73" i="5" s="1"/>
  <c r="AG76" i="12"/>
  <c r="AH76" i="12" s="1"/>
  <c r="H74" i="5" s="1"/>
  <c r="AG33" i="12"/>
  <c r="AH33" i="12" s="1"/>
  <c r="H31" i="5" s="1"/>
  <c r="AG70" i="12"/>
  <c r="AH70" i="12" s="1"/>
  <c r="H68" i="5" s="1"/>
  <c r="AG14" i="12"/>
  <c r="AH14" i="12" s="1"/>
  <c r="H12" i="5" s="1"/>
  <c r="AG68" i="12"/>
  <c r="AH68" i="12" s="1"/>
  <c r="H66" i="5" s="1"/>
  <c r="AG77" i="12"/>
  <c r="AH77" i="12" s="1"/>
  <c r="H75" i="5" s="1"/>
  <c r="AG64" i="12"/>
  <c r="AH64" i="12" s="1"/>
  <c r="H62" i="5" s="1"/>
  <c r="AG34" i="12"/>
  <c r="AH34" i="12" s="1"/>
  <c r="H32" i="5" s="1"/>
  <c r="AG6" i="12"/>
  <c r="AH6" i="12" s="1"/>
  <c r="H4" i="5" s="1"/>
  <c r="AG78" i="12"/>
  <c r="AH78" i="12" s="1"/>
  <c r="H76" i="5" s="1"/>
  <c r="AG39" i="12"/>
  <c r="AH39" i="12" s="1"/>
  <c r="H37" i="5" s="1"/>
  <c r="G14" i="8" l="1"/>
  <c r="F14" i="8"/>
  <c r="AA33" i="14" l="1"/>
  <c r="AA35" i="14"/>
  <c r="AA37" i="14"/>
  <c r="AA39" i="14"/>
  <c r="AA41" i="14"/>
  <c r="AA43" i="14"/>
  <c r="AA45" i="14"/>
  <c r="AA47" i="14"/>
  <c r="AA49" i="14"/>
  <c r="AA51" i="14"/>
  <c r="AA53" i="14"/>
  <c r="AA55" i="14"/>
  <c r="AA57" i="14"/>
  <c r="AA59" i="14"/>
  <c r="AA61" i="14"/>
  <c r="AA63" i="14"/>
  <c r="AA65" i="14"/>
  <c r="AA67" i="14"/>
  <c r="AA69" i="14"/>
  <c r="AA71" i="14"/>
  <c r="AA73" i="14"/>
  <c r="AA75" i="14"/>
  <c r="AA77" i="14"/>
  <c r="AA34" i="14"/>
  <c r="AA36" i="14"/>
  <c r="AA38" i="14"/>
  <c r="AA40" i="14"/>
  <c r="AA42" i="14"/>
  <c r="AA44" i="14"/>
  <c r="AA46" i="14"/>
  <c r="AA48" i="14"/>
  <c r="AA50" i="14"/>
  <c r="AA52" i="14"/>
  <c r="AA54" i="14"/>
  <c r="AA56" i="14"/>
  <c r="AA58" i="14"/>
  <c r="AA60" i="14"/>
  <c r="AA62" i="14"/>
  <c r="AA64" i="14"/>
  <c r="AA66" i="14"/>
  <c r="AA68" i="14"/>
  <c r="AA70" i="14"/>
  <c r="AA72" i="14"/>
  <c r="AA74" i="14"/>
  <c r="AA76" i="14"/>
  <c r="AA78" i="14"/>
  <c r="AA27" i="14"/>
  <c r="AA29" i="14"/>
  <c r="AA31" i="14"/>
  <c r="AA26" i="14"/>
  <c r="AA28" i="14"/>
  <c r="AA30" i="14"/>
  <c r="AA32" i="14"/>
  <c r="AA9" i="14"/>
  <c r="AA11" i="14"/>
  <c r="AA13" i="14"/>
  <c r="AA15" i="14"/>
  <c r="AA17" i="14"/>
  <c r="AA19" i="14"/>
  <c r="AA21" i="14"/>
  <c r="AA23" i="14"/>
  <c r="AA25" i="14"/>
  <c r="AA10" i="14"/>
  <c r="AA12" i="14"/>
  <c r="AA14" i="14"/>
  <c r="AA16" i="14"/>
  <c r="AA18" i="14"/>
  <c r="AA20" i="14"/>
  <c r="AA22" i="14"/>
  <c r="AA24" i="14"/>
  <c r="AA5" i="14"/>
  <c r="AA7" i="14"/>
  <c r="AA4" i="14"/>
  <c r="AA6" i="14"/>
  <c r="AA8" i="14"/>
  <c r="H9" i="5"/>
  <c r="H5" i="5"/>
  <c r="G9" i="5"/>
  <c r="G5" i="5"/>
  <c r="W6" i="14" l="1"/>
  <c r="Y6" i="14"/>
  <c r="X6" i="14"/>
  <c r="X7" i="14"/>
  <c r="W7" i="14"/>
  <c r="Y7" i="14"/>
  <c r="W22" i="14"/>
  <c r="Y22" i="14"/>
  <c r="X22" i="14"/>
  <c r="W18" i="14"/>
  <c r="Y18" i="14"/>
  <c r="X18" i="14"/>
  <c r="W14" i="14"/>
  <c r="Y14" i="14"/>
  <c r="X14" i="14"/>
  <c r="W10" i="14"/>
  <c r="Y10" i="14"/>
  <c r="X10" i="14"/>
  <c r="X23" i="14"/>
  <c r="Y23" i="14"/>
  <c r="W23" i="14"/>
  <c r="W19" i="14"/>
  <c r="X19" i="14"/>
  <c r="Y19" i="14"/>
  <c r="X15" i="14"/>
  <c r="W15" i="14"/>
  <c r="Y15" i="14"/>
  <c r="Y11" i="14"/>
  <c r="W11" i="14"/>
  <c r="X11" i="14"/>
  <c r="Y30" i="14"/>
  <c r="W30" i="14"/>
  <c r="X30" i="14"/>
  <c r="W26" i="14"/>
  <c r="X26" i="14"/>
  <c r="Y26" i="14"/>
  <c r="Y29" i="14"/>
  <c r="X29" i="14"/>
  <c r="W29" i="14"/>
  <c r="W76" i="14"/>
  <c r="Y76" i="14"/>
  <c r="X76" i="14"/>
  <c r="W72" i="14"/>
  <c r="Y72" i="14"/>
  <c r="X72" i="14"/>
  <c r="Y68" i="14"/>
  <c r="W68" i="14"/>
  <c r="X68" i="14"/>
  <c r="Y64" i="14"/>
  <c r="W64" i="14"/>
  <c r="X64" i="14"/>
  <c r="W60" i="14"/>
  <c r="Y60" i="14"/>
  <c r="X60" i="14"/>
  <c r="W56" i="14"/>
  <c r="Y56" i="14"/>
  <c r="X56" i="14"/>
  <c r="Y52" i="14"/>
  <c r="W52" i="14"/>
  <c r="X52" i="14"/>
  <c r="W48" i="14"/>
  <c r="X48" i="14"/>
  <c r="Y48" i="14"/>
  <c r="Y44" i="14"/>
  <c r="W44" i="14"/>
  <c r="X44" i="14"/>
  <c r="Y40" i="14"/>
  <c r="W40" i="14"/>
  <c r="X40" i="14"/>
  <c r="W36" i="14"/>
  <c r="Y36" i="14"/>
  <c r="X36" i="14"/>
  <c r="W77" i="14"/>
  <c r="Y77" i="14"/>
  <c r="X77" i="14"/>
  <c r="Y73" i="14"/>
  <c r="W73" i="14"/>
  <c r="X73" i="14"/>
  <c r="Y69" i="14"/>
  <c r="W69" i="14"/>
  <c r="X69" i="14"/>
  <c r="W65" i="14"/>
  <c r="Y65" i="14"/>
  <c r="X65" i="14"/>
  <c r="Y61" i="14"/>
  <c r="W61" i="14"/>
  <c r="X61" i="14"/>
  <c r="Y57" i="14"/>
  <c r="W57" i="14"/>
  <c r="X57" i="14"/>
  <c r="X53" i="14"/>
  <c r="W53" i="14"/>
  <c r="Y53" i="14"/>
  <c r="W49" i="14"/>
  <c r="Y49" i="14"/>
  <c r="X49" i="14"/>
  <c r="W45" i="14"/>
  <c r="X45" i="14"/>
  <c r="Y45" i="14"/>
  <c r="W41" i="14"/>
  <c r="X41" i="14"/>
  <c r="Y41" i="14"/>
  <c r="Y37" i="14"/>
  <c r="W37" i="14"/>
  <c r="X37" i="14"/>
  <c r="Y33" i="14"/>
  <c r="W33" i="14"/>
  <c r="X33" i="14"/>
  <c r="W8" i="14"/>
  <c r="X8" i="14"/>
  <c r="Y8" i="14"/>
  <c r="X4" i="14"/>
  <c r="Y4" i="14"/>
  <c r="W4" i="14"/>
  <c r="X5" i="14"/>
  <c r="W5" i="14"/>
  <c r="Y5" i="14"/>
  <c r="W24" i="14"/>
  <c r="X24" i="14"/>
  <c r="Y24" i="14"/>
  <c r="W20" i="14"/>
  <c r="Y20" i="14"/>
  <c r="X20" i="14"/>
  <c r="W16" i="14"/>
  <c r="Y16" i="14"/>
  <c r="X16" i="14"/>
  <c r="W12" i="14"/>
  <c r="X12" i="14"/>
  <c r="Y12" i="14"/>
  <c r="X25" i="14"/>
  <c r="Y25" i="14"/>
  <c r="W25" i="14"/>
  <c r="X21" i="14"/>
  <c r="Y21" i="14"/>
  <c r="W21" i="14"/>
  <c r="Y17" i="14"/>
  <c r="X17" i="14"/>
  <c r="W17" i="14"/>
  <c r="X13" i="14"/>
  <c r="W13" i="14"/>
  <c r="Y13" i="14"/>
  <c r="Y9" i="14"/>
  <c r="X9" i="14"/>
  <c r="W9" i="14"/>
  <c r="W32" i="14"/>
  <c r="X32" i="14"/>
  <c r="Y32" i="14"/>
  <c r="Y28" i="14"/>
  <c r="W28" i="14"/>
  <c r="X28" i="14"/>
  <c r="Y31" i="14"/>
  <c r="W31" i="14"/>
  <c r="X31" i="14"/>
  <c r="Y27" i="14"/>
  <c r="X27" i="14"/>
  <c r="W27" i="14"/>
  <c r="X78" i="14"/>
  <c r="Y78" i="14"/>
  <c r="W78" i="14"/>
  <c r="W74" i="14"/>
  <c r="Y74" i="14"/>
  <c r="X74" i="14"/>
  <c r="Y70" i="14"/>
  <c r="X70" i="14"/>
  <c r="W70" i="14"/>
  <c r="W66" i="14"/>
  <c r="Y66" i="14"/>
  <c r="X66" i="14"/>
  <c r="W62" i="14"/>
  <c r="Y62" i="14"/>
  <c r="X62" i="14"/>
  <c r="W58" i="14"/>
  <c r="Y58" i="14"/>
  <c r="X58" i="14"/>
  <c r="W54" i="14"/>
  <c r="Y54" i="14"/>
  <c r="X54" i="14"/>
  <c r="Y50" i="14"/>
  <c r="W50" i="14"/>
  <c r="X50" i="14"/>
  <c r="W46" i="14"/>
  <c r="Y46" i="14"/>
  <c r="X46" i="14"/>
  <c r="Y42" i="14"/>
  <c r="W42" i="14"/>
  <c r="X42" i="14"/>
  <c r="Y38" i="14"/>
  <c r="X38" i="14"/>
  <c r="W38" i="14"/>
  <c r="W34" i="14"/>
  <c r="X34" i="14"/>
  <c r="Y34" i="14"/>
  <c r="W75" i="14"/>
  <c r="Y75" i="14"/>
  <c r="X75" i="14"/>
  <c r="Y71" i="14"/>
  <c r="W71" i="14"/>
  <c r="X71" i="14"/>
  <c r="Y67" i="14"/>
  <c r="W67" i="14"/>
  <c r="X67" i="14"/>
  <c r="Y63" i="14"/>
  <c r="W63" i="14"/>
  <c r="X63" i="14"/>
  <c r="Y59" i="14"/>
  <c r="W59" i="14"/>
  <c r="X59" i="14"/>
  <c r="W55" i="14"/>
  <c r="Y55" i="14"/>
  <c r="X55" i="14"/>
  <c r="W51" i="14"/>
  <c r="Y51" i="14"/>
  <c r="X51" i="14"/>
  <c r="W47" i="14"/>
  <c r="X47" i="14"/>
  <c r="Y47" i="14"/>
  <c r="Y43" i="14"/>
  <c r="W43" i="14"/>
  <c r="X43" i="14"/>
  <c r="Y39" i="14"/>
  <c r="W39" i="14"/>
  <c r="X39" i="14"/>
  <c r="Y35" i="14"/>
  <c r="W35" i="14"/>
  <c r="X35" i="14"/>
  <c r="J15" i="5"/>
  <c r="J17" i="5"/>
  <c r="J21" i="5"/>
  <c r="J33" i="5"/>
  <c r="J59" i="5"/>
  <c r="J61" i="5"/>
  <c r="J67" i="5"/>
  <c r="J69" i="5"/>
  <c r="J3" i="5"/>
  <c r="J4" i="5"/>
  <c r="J5" i="5"/>
  <c r="J6" i="5"/>
  <c r="J7" i="5"/>
  <c r="J8" i="5"/>
  <c r="J9" i="5"/>
  <c r="J10" i="5"/>
  <c r="J11" i="5"/>
  <c r="J12" i="5"/>
  <c r="J13" i="5"/>
  <c r="J14" i="5"/>
  <c r="J16" i="5"/>
  <c r="J18" i="5"/>
  <c r="J19" i="5"/>
  <c r="J20" i="5"/>
  <c r="J22" i="5"/>
  <c r="J23" i="5"/>
  <c r="J24" i="5"/>
  <c r="J25" i="5"/>
  <c r="J26" i="5"/>
  <c r="J27" i="5"/>
  <c r="J28" i="5"/>
  <c r="J29" i="5"/>
  <c r="J30" i="5"/>
  <c r="J31" i="5"/>
  <c r="J32" i="5"/>
  <c r="J34" i="5"/>
  <c r="J35" i="5"/>
  <c r="J36" i="5"/>
  <c r="J37" i="5"/>
  <c r="J38" i="5"/>
  <c r="J39" i="5"/>
  <c r="J40" i="5"/>
  <c r="J41" i="5"/>
  <c r="J42" i="5"/>
  <c r="J43" i="5"/>
  <c r="J44" i="5"/>
  <c r="J45" i="5"/>
  <c r="J46" i="5"/>
  <c r="J47" i="5"/>
  <c r="J48" i="5"/>
  <c r="J49" i="5"/>
  <c r="J50" i="5"/>
  <c r="J51" i="5"/>
  <c r="J52" i="5"/>
  <c r="J53" i="5"/>
  <c r="J54" i="5"/>
  <c r="J55" i="5"/>
  <c r="J56" i="5"/>
  <c r="J57" i="5"/>
  <c r="J58" i="5"/>
  <c r="J60" i="5"/>
  <c r="J62" i="5"/>
  <c r="J63" i="5"/>
  <c r="J64" i="5"/>
  <c r="J65" i="5"/>
  <c r="J66" i="5"/>
  <c r="J68" i="5"/>
  <c r="J70" i="5"/>
  <c r="J71" i="5"/>
  <c r="J72" i="5"/>
  <c r="J73" i="5"/>
  <c r="J74" i="5"/>
  <c r="J75" i="5"/>
  <c r="J76" i="5"/>
  <c r="F3" i="5" l="1"/>
  <c r="O3" i="5" s="1"/>
  <c r="F4" i="5"/>
  <c r="O4" i="5" s="1"/>
  <c r="F5" i="5"/>
  <c r="O5" i="5" s="1"/>
  <c r="F6" i="5"/>
  <c r="O6" i="5" s="1"/>
  <c r="F7" i="5"/>
  <c r="F8" i="5"/>
  <c r="O8" i="5" s="1"/>
  <c r="F9" i="5"/>
  <c r="O9" i="5" s="1"/>
  <c r="F10" i="5"/>
  <c r="O10" i="5" s="1"/>
  <c r="F11" i="5"/>
  <c r="O11" i="5" s="1"/>
  <c r="F12" i="5"/>
  <c r="O12" i="5" s="1"/>
  <c r="F13" i="5"/>
  <c r="O13" i="5" s="1"/>
  <c r="F14" i="5"/>
  <c r="O14" i="5" s="1"/>
  <c r="F15" i="5"/>
  <c r="O15" i="5" s="1"/>
  <c r="F16" i="5"/>
  <c r="O16" i="5" s="1"/>
  <c r="F17" i="5"/>
  <c r="O17" i="5" s="1"/>
  <c r="F18" i="5"/>
  <c r="O18" i="5" s="1"/>
  <c r="F19" i="5"/>
  <c r="O19" i="5" s="1"/>
  <c r="F20" i="5"/>
  <c r="O20" i="5" s="1"/>
  <c r="F21" i="5"/>
  <c r="O21" i="5" s="1"/>
  <c r="F22" i="5"/>
  <c r="O22" i="5" s="1"/>
  <c r="F23" i="5"/>
  <c r="O23" i="5" s="1"/>
  <c r="F24" i="5"/>
  <c r="O24" i="5" s="1"/>
  <c r="F25" i="5"/>
  <c r="F26" i="5"/>
  <c r="F27" i="5"/>
  <c r="O27" i="5" s="1"/>
  <c r="F28" i="5"/>
  <c r="O28" i="5" s="1"/>
  <c r="F29" i="5"/>
  <c r="O29" i="5" s="1"/>
  <c r="F30" i="5"/>
  <c r="O30" i="5" s="1"/>
  <c r="F31" i="5"/>
  <c r="O31" i="5" s="1"/>
  <c r="F32" i="5"/>
  <c r="F33" i="5"/>
  <c r="F34" i="5"/>
  <c r="O34" i="5" s="1"/>
  <c r="F35" i="5"/>
  <c r="O35" i="5" s="1"/>
  <c r="F36" i="5"/>
  <c r="O36" i="5" s="1"/>
  <c r="F37" i="5"/>
  <c r="O37" i="5" s="1"/>
  <c r="F38" i="5"/>
  <c r="O38" i="5" s="1"/>
  <c r="F39" i="5"/>
  <c r="O39" i="5" s="1"/>
  <c r="F40" i="5"/>
  <c r="O40" i="5" s="1"/>
  <c r="F41" i="5"/>
  <c r="O41" i="5" s="1"/>
  <c r="F42" i="5"/>
  <c r="O42" i="5" s="1"/>
  <c r="F43" i="5"/>
  <c r="O43" i="5" s="1"/>
  <c r="F44" i="5"/>
  <c r="O44" i="5" s="1"/>
  <c r="F45" i="5"/>
  <c r="O45" i="5" s="1"/>
  <c r="F46" i="5"/>
  <c r="O46" i="5" s="1"/>
  <c r="F47" i="5"/>
  <c r="O47" i="5" s="1"/>
  <c r="F48" i="5"/>
  <c r="O48" i="5" s="1"/>
  <c r="F49" i="5"/>
  <c r="O49" i="5" s="1"/>
  <c r="F50" i="5"/>
  <c r="O50" i="5" s="1"/>
  <c r="F51" i="5"/>
  <c r="O51" i="5" s="1"/>
  <c r="F52" i="5"/>
  <c r="O52" i="5" s="1"/>
  <c r="F53" i="5"/>
  <c r="O53" i="5" s="1"/>
  <c r="F54" i="5"/>
  <c r="O54" i="5" s="1"/>
  <c r="F55" i="5"/>
  <c r="O55" i="5" s="1"/>
  <c r="F56" i="5"/>
  <c r="O56" i="5" s="1"/>
  <c r="F57" i="5"/>
  <c r="O57" i="5" s="1"/>
  <c r="F58" i="5"/>
  <c r="O58" i="5" s="1"/>
  <c r="F59" i="5"/>
  <c r="O59" i="5" s="1"/>
  <c r="F60" i="5"/>
  <c r="O60" i="5" s="1"/>
  <c r="F61" i="5"/>
  <c r="O61" i="5" s="1"/>
  <c r="F62" i="5"/>
  <c r="O62" i="5" s="1"/>
  <c r="F63" i="5"/>
  <c r="O63" i="5" s="1"/>
  <c r="F64" i="5"/>
  <c r="O64" i="5" s="1"/>
  <c r="F65" i="5"/>
  <c r="O65" i="5" s="1"/>
  <c r="F66" i="5"/>
  <c r="O66" i="5" s="1"/>
  <c r="F67" i="5"/>
  <c r="O67" i="5" s="1"/>
  <c r="F68" i="5"/>
  <c r="O68" i="5" s="1"/>
  <c r="F69" i="5"/>
  <c r="O69" i="5" s="1"/>
  <c r="F70" i="5"/>
  <c r="O70" i="5" s="1"/>
  <c r="F71" i="5"/>
  <c r="O71" i="5" s="1"/>
  <c r="F72" i="5"/>
  <c r="O72" i="5" s="1"/>
  <c r="F73" i="5"/>
  <c r="O73" i="5" s="1"/>
  <c r="F74" i="5"/>
  <c r="O74" i="5" s="1"/>
  <c r="F75" i="5"/>
  <c r="O75" i="5" s="1"/>
  <c r="F76" i="5"/>
  <c r="N53" i="5"/>
  <c r="F6" i="10"/>
  <c r="N22" i="5"/>
  <c r="N59" i="5"/>
  <c r="N39" i="5"/>
  <c r="F4" i="10"/>
  <c r="N69" i="5"/>
  <c r="N13" i="5"/>
  <c r="N17" i="5"/>
  <c r="N60" i="5"/>
  <c r="N43" i="5"/>
  <c r="N55" i="5"/>
  <c r="N29" i="5"/>
  <c r="N58" i="5"/>
  <c r="N56" i="5"/>
  <c r="I7" i="10"/>
  <c r="N49" i="5"/>
  <c r="N73" i="5"/>
  <c r="N50" i="5"/>
  <c r="N37" i="5"/>
  <c r="N65" i="5"/>
  <c r="N6" i="5"/>
  <c r="N47" i="5"/>
  <c r="N38" i="5"/>
  <c r="I5" i="10"/>
  <c r="N35" i="5"/>
  <c r="N3" i="5"/>
  <c r="N34" i="5"/>
  <c r="N57" i="5"/>
  <c r="H7" i="10"/>
  <c r="N23" i="5"/>
  <c r="N40" i="5"/>
  <c r="N30" i="5"/>
  <c r="N21" i="5"/>
  <c r="N48" i="5"/>
  <c r="N45" i="5"/>
  <c r="N18" i="5"/>
  <c r="N19" i="5"/>
  <c r="N10" i="5"/>
  <c r="H5" i="10"/>
  <c r="N54" i="5"/>
  <c r="N72" i="5"/>
  <c r="N71" i="5"/>
  <c r="N67" i="5"/>
  <c r="N66" i="5"/>
  <c r="N14" i="5"/>
  <c r="N5" i="5"/>
  <c r="N12" i="5"/>
  <c r="N41" i="5"/>
  <c r="N44" i="5"/>
  <c r="I6" i="10"/>
  <c r="N63" i="5"/>
  <c r="N64" i="5"/>
  <c r="N36" i="5"/>
  <c r="N51" i="5"/>
  <c r="N75" i="5"/>
  <c r="N24" i="5"/>
  <c r="N68" i="5"/>
  <c r="N11" i="5"/>
  <c r="H6" i="10"/>
  <c r="N8" i="5"/>
  <c r="I4" i="10"/>
  <c r="N74" i="5"/>
  <c r="N16" i="5"/>
  <c r="N15" i="5"/>
  <c r="B4" i="10"/>
  <c r="N52" i="5"/>
  <c r="N4" i="5"/>
  <c r="N9" i="5"/>
  <c r="H4" i="10"/>
  <c r="N42" i="5"/>
  <c r="N20" i="5"/>
  <c r="N28" i="5"/>
  <c r="G6" i="10"/>
  <c r="N46" i="5"/>
  <c r="N61" i="5"/>
  <c r="N31" i="5"/>
  <c r="N70" i="5"/>
  <c r="N27" i="5"/>
  <c r="N62" i="5"/>
  <c r="O25" i="5" l="1"/>
  <c r="O76" i="5"/>
  <c r="O32" i="5"/>
  <c r="I9" i="10"/>
  <c r="H9" i="10"/>
  <c r="L72" i="5"/>
  <c r="L68" i="5"/>
  <c r="L64" i="5"/>
  <c r="L60" i="5"/>
  <c r="L56" i="5"/>
  <c r="L52" i="5"/>
  <c r="L48" i="5"/>
  <c r="L44" i="5"/>
  <c r="L40" i="5"/>
  <c r="L36" i="5"/>
  <c r="L28" i="5"/>
  <c r="L24" i="5"/>
  <c r="L20" i="5"/>
  <c r="L16" i="5"/>
  <c r="L12" i="5"/>
  <c r="L8" i="5"/>
  <c r="L4" i="5"/>
  <c r="L71" i="5"/>
  <c r="L67" i="5"/>
  <c r="L63" i="5"/>
  <c r="L59" i="5"/>
  <c r="L55" i="5"/>
  <c r="L51" i="5"/>
  <c r="L47" i="5"/>
  <c r="L43" i="5"/>
  <c r="L39" i="5"/>
  <c r="L35" i="5"/>
  <c r="L31" i="5"/>
  <c r="L27" i="5"/>
  <c r="L23" i="5"/>
  <c r="L19" i="5"/>
  <c r="L15" i="5"/>
  <c r="L11" i="5"/>
  <c r="L3" i="5"/>
  <c r="L75" i="5"/>
  <c r="L74" i="5"/>
  <c r="L70" i="5"/>
  <c r="L66" i="5"/>
  <c r="L62" i="5"/>
  <c r="L58" i="5"/>
  <c r="L54" i="5"/>
  <c r="L50" i="5"/>
  <c r="L46" i="5"/>
  <c r="L42" i="5"/>
  <c r="L38" i="5"/>
  <c r="L34" i="5"/>
  <c r="L30" i="5"/>
  <c r="L22" i="5"/>
  <c r="L18" i="5"/>
  <c r="L14" i="5"/>
  <c r="L10" i="5"/>
  <c r="L6" i="5"/>
  <c r="L73" i="5"/>
  <c r="L69" i="5"/>
  <c r="L65" i="5"/>
  <c r="L61" i="5"/>
  <c r="L57" i="5"/>
  <c r="L53" i="5"/>
  <c r="L49" i="5"/>
  <c r="L45" i="5"/>
  <c r="L41" i="5"/>
  <c r="L37" i="5"/>
  <c r="L29" i="5"/>
  <c r="L21" i="5"/>
  <c r="L17" i="5"/>
  <c r="L13" i="5"/>
  <c r="K9" i="5"/>
  <c r="L9" i="5"/>
  <c r="K5" i="5"/>
  <c r="L5" i="5"/>
  <c r="O7" i="5"/>
  <c r="O26" i="5"/>
  <c r="O33" i="5"/>
  <c r="AJ40" i="12"/>
  <c r="AJ35" i="12"/>
  <c r="AJ42" i="12"/>
  <c r="AJ36" i="12"/>
  <c r="AJ37" i="12"/>
  <c r="AJ38" i="12"/>
  <c r="AJ46" i="12"/>
  <c r="AJ47" i="12"/>
  <c r="AJ10" i="12"/>
  <c r="AJ48" i="12"/>
  <c r="AJ49" i="12"/>
  <c r="AJ50" i="12"/>
  <c r="AJ26" i="12"/>
  <c r="AJ13" i="12"/>
  <c r="AJ25" i="12"/>
  <c r="AJ15" i="12"/>
  <c r="AJ16" i="12"/>
  <c r="AJ9" i="12"/>
  <c r="AJ41" i="12"/>
  <c r="AJ53" i="12"/>
  <c r="AJ54" i="12"/>
  <c r="AJ56" i="12"/>
  <c r="AJ57" i="12"/>
  <c r="AJ58" i="12"/>
  <c r="AJ59" i="12"/>
  <c r="AJ17" i="12"/>
  <c r="AJ5" i="12"/>
  <c r="AJ60" i="12"/>
  <c r="AJ4" i="12"/>
  <c r="AJ61" i="12"/>
  <c r="AJ7" i="12"/>
  <c r="AJ62" i="12"/>
  <c r="AJ18" i="12"/>
  <c r="AJ19" i="12"/>
  <c r="AJ28" i="12"/>
  <c r="AJ29" i="12"/>
  <c r="AJ8" i="12"/>
  <c r="AJ11" i="12"/>
  <c r="AJ20" i="12"/>
  <c r="AJ21" i="12"/>
  <c r="AJ63" i="12"/>
  <c r="AJ31" i="12"/>
  <c r="AJ30" i="12"/>
  <c r="AJ22" i="12"/>
  <c r="AJ23" i="12"/>
  <c r="AJ32" i="12"/>
  <c r="AJ43" i="12"/>
  <c r="AJ65" i="12"/>
  <c r="AJ66" i="12"/>
  <c r="AJ67" i="12"/>
  <c r="AJ44" i="12"/>
  <c r="AJ45" i="12"/>
  <c r="AJ69" i="12"/>
  <c r="AJ51" i="12"/>
  <c r="AJ71" i="12"/>
  <c r="AJ72" i="12"/>
  <c r="AJ27" i="12"/>
  <c r="AJ73" i="12"/>
  <c r="AJ12" i="12"/>
  <c r="AJ74" i="12"/>
  <c r="AJ24" i="12"/>
  <c r="AJ75" i="12"/>
  <c r="AJ76" i="12"/>
  <c r="AJ33" i="12"/>
  <c r="AJ70" i="12"/>
  <c r="AJ14" i="12"/>
  <c r="AJ68" i="12"/>
  <c r="AJ77" i="12"/>
  <c r="AJ64" i="12"/>
  <c r="AJ6" i="12"/>
  <c r="AJ78" i="12"/>
  <c r="AJ39" i="12"/>
  <c r="N7" i="5"/>
  <c r="N32" i="5"/>
  <c r="N76" i="5"/>
  <c r="N25" i="5"/>
  <c r="N26" i="5"/>
  <c r="N33" i="5"/>
  <c r="L32" i="5" l="1"/>
  <c r="L76" i="5"/>
  <c r="L25" i="5"/>
  <c r="L26" i="5"/>
  <c r="L33" i="5"/>
  <c r="L7" i="5"/>
  <c r="AE40" i="12"/>
  <c r="AF40" i="12" s="1"/>
  <c r="G38" i="5" s="1"/>
  <c r="AE35" i="12"/>
  <c r="AF35" i="12" s="1"/>
  <c r="G33" i="5" s="1"/>
  <c r="AE42" i="12"/>
  <c r="AF42" i="12" s="1"/>
  <c r="G40" i="5" s="1"/>
  <c r="AE36" i="12"/>
  <c r="AF36" i="12" s="1"/>
  <c r="G34" i="5" s="1"/>
  <c r="AE37" i="12"/>
  <c r="AF37" i="12" s="1"/>
  <c r="G35" i="5" s="1"/>
  <c r="AE38" i="12"/>
  <c r="AF38" i="12" s="1"/>
  <c r="G36" i="5" s="1"/>
  <c r="AE46" i="12"/>
  <c r="AF46" i="12" s="1"/>
  <c r="G44" i="5" s="1"/>
  <c r="AE47" i="12"/>
  <c r="AF47" i="12" s="1"/>
  <c r="G45" i="5" s="1"/>
  <c r="AF10" i="12"/>
  <c r="G8" i="5" s="1"/>
  <c r="AE48" i="12"/>
  <c r="AF48" i="12" s="1"/>
  <c r="G46" i="5" s="1"/>
  <c r="AE49" i="12"/>
  <c r="AF49" i="12" s="1"/>
  <c r="G47" i="5" s="1"/>
  <c r="AE50" i="12"/>
  <c r="AF50" i="12" s="1"/>
  <c r="G48" i="5" s="1"/>
  <c r="AE26" i="12"/>
  <c r="AF26" i="12" s="1"/>
  <c r="G24" i="5" s="1"/>
  <c r="AE13" i="12"/>
  <c r="AF13" i="12" s="1"/>
  <c r="G11" i="5" s="1"/>
  <c r="AE25" i="12"/>
  <c r="AF25" i="12" s="1"/>
  <c r="G23" i="5" s="1"/>
  <c r="AE15" i="12"/>
  <c r="AF15" i="12" s="1"/>
  <c r="G13" i="5" s="1"/>
  <c r="AE16" i="12"/>
  <c r="AF16" i="12" s="1"/>
  <c r="G14" i="5" s="1"/>
  <c r="AE9" i="12"/>
  <c r="AF9" i="12" s="1"/>
  <c r="G7" i="5" s="1"/>
  <c r="AE41" i="12"/>
  <c r="AF41" i="12" s="1"/>
  <c r="G39" i="5" s="1"/>
  <c r="AE52" i="12"/>
  <c r="AF52" i="12" s="1"/>
  <c r="G50" i="5" s="1"/>
  <c r="AE53" i="12"/>
  <c r="AF53" i="12" s="1"/>
  <c r="G51" i="5" s="1"/>
  <c r="AE54" i="12"/>
  <c r="AF54" i="12" s="1"/>
  <c r="G52" i="5" s="1"/>
  <c r="AE55" i="12"/>
  <c r="AF55" i="12" s="1"/>
  <c r="G53" i="5" s="1"/>
  <c r="AE56" i="12"/>
  <c r="AF56" i="12" s="1"/>
  <c r="G54" i="5" s="1"/>
  <c r="AE57" i="12"/>
  <c r="AF57" i="12" s="1"/>
  <c r="G55" i="5" s="1"/>
  <c r="AE58" i="12"/>
  <c r="AF58" i="12" s="1"/>
  <c r="G56" i="5" s="1"/>
  <c r="AE59" i="12"/>
  <c r="AF59" i="12" s="1"/>
  <c r="G57" i="5" s="1"/>
  <c r="AE17" i="12"/>
  <c r="AF17" i="12" s="1"/>
  <c r="G15" i="5" s="1"/>
  <c r="AE60" i="12"/>
  <c r="AF60" i="12" s="1"/>
  <c r="G58" i="5" s="1"/>
  <c r="AE61" i="12"/>
  <c r="AF61" i="12" s="1"/>
  <c r="G59" i="5" s="1"/>
  <c r="AE7" i="12"/>
  <c r="AF7" i="12" s="1"/>
  <c r="AE62" i="12"/>
  <c r="AF62" i="12" s="1"/>
  <c r="G60" i="5" s="1"/>
  <c r="AE18" i="12"/>
  <c r="AF18" i="12" s="1"/>
  <c r="G16" i="5" s="1"/>
  <c r="AE19" i="12"/>
  <c r="AF19" i="12" s="1"/>
  <c r="G17" i="5" s="1"/>
  <c r="AE28" i="12"/>
  <c r="AF28" i="12" s="1"/>
  <c r="G26" i="5" s="1"/>
  <c r="AE29" i="12"/>
  <c r="AF29" i="12" s="1"/>
  <c r="G27" i="5" s="1"/>
  <c r="AE8" i="12"/>
  <c r="AF8" i="12" s="1"/>
  <c r="G6" i="5" s="1"/>
  <c r="AE11" i="12"/>
  <c r="AF11" i="12" s="1"/>
  <c r="AE20" i="12"/>
  <c r="AF20" i="12" s="1"/>
  <c r="G18" i="5" s="1"/>
  <c r="AE21" i="12"/>
  <c r="AF21" i="12" s="1"/>
  <c r="G19" i="5" s="1"/>
  <c r="AE63" i="12"/>
  <c r="AF63" i="12" s="1"/>
  <c r="G61" i="5" s="1"/>
  <c r="AE31" i="12"/>
  <c r="AF31" i="12" s="1"/>
  <c r="G29" i="5" s="1"/>
  <c r="AE30" i="12"/>
  <c r="AF30" i="12" s="1"/>
  <c r="G28" i="5" s="1"/>
  <c r="AE22" i="12"/>
  <c r="AF22" i="12" s="1"/>
  <c r="G20" i="5" s="1"/>
  <c r="AE23" i="12"/>
  <c r="AF23" i="12" s="1"/>
  <c r="G21" i="5" s="1"/>
  <c r="AE32" i="12"/>
  <c r="AF32" i="12" s="1"/>
  <c r="G30" i="5" s="1"/>
  <c r="AE43" i="12"/>
  <c r="AF43" i="12" s="1"/>
  <c r="G41" i="5" s="1"/>
  <c r="AE65" i="12"/>
  <c r="AF65" i="12" s="1"/>
  <c r="G63" i="5" s="1"/>
  <c r="AE66" i="12"/>
  <c r="AF66" i="12" s="1"/>
  <c r="G64" i="5" s="1"/>
  <c r="AE67" i="12"/>
  <c r="AF67" i="12" s="1"/>
  <c r="G65" i="5" s="1"/>
  <c r="AE44" i="12"/>
  <c r="AF44" i="12" s="1"/>
  <c r="G42" i="5" s="1"/>
  <c r="AE45" i="12"/>
  <c r="AF45" i="12" s="1"/>
  <c r="G43" i="5" s="1"/>
  <c r="AE69" i="12"/>
  <c r="AF69" i="12" s="1"/>
  <c r="G67" i="5" s="1"/>
  <c r="AE51" i="12"/>
  <c r="AF51" i="12" s="1"/>
  <c r="G49" i="5" s="1"/>
  <c r="AE71" i="12"/>
  <c r="AF71" i="12" s="1"/>
  <c r="G69" i="5" s="1"/>
  <c r="AE72" i="12"/>
  <c r="AF72" i="12" s="1"/>
  <c r="G70" i="5" s="1"/>
  <c r="AE27" i="12"/>
  <c r="AF27" i="12" s="1"/>
  <c r="G25" i="5" s="1"/>
  <c r="AE73" i="12"/>
  <c r="AF73" i="12" s="1"/>
  <c r="G71" i="5" s="1"/>
  <c r="AE12" i="12"/>
  <c r="AF12" i="12" s="1"/>
  <c r="G10" i="5" s="1"/>
  <c r="AE74" i="12"/>
  <c r="AF74" i="12" s="1"/>
  <c r="G72" i="5" s="1"/>
  <c r="AE24" i="12"/>
  <c r="AF24" i="12" s="1"/>
  <c r="G22" i="5" s="1"/>
  <c r="AE75" i="12"/>
  <c r="AF75" i="12" s="1"/>
  <c r="G73" i="5" s="1"/>
  <c r="AE76" i="12"/>
  <c r="AF76" i="12" s="1"/>
  <c r="G74" i="5" s="1"/>
  <c r="AE33" i="12"/>
  <c r="AF33" i="12" s="1"/>
  <c r="G31" i="5" s="1"/>
  <c r="AE70" i="12"/>
  <c r="AF70" i="12" s="1"/>
  <c r="G68" i="5" s="1"/>
  <c r="AE14" i="12"/>
  <c r="AF14" i="12" s="1"/>
  <c r="G12" i="5" s="1"/>
  <c r="AE68" i="12"/>
  <c r="AF68" i="12" s="1"/>
  <c r="G66" i="5" s="1"/>
  <c r="AE77" i="12"/>
  <c r="AF77" i="12" s="1"/>
  <c r="G75" i="5" s="1"/>
  <c r="AE64" i="12"/>
  <c r="AF64" i="12" s="1"/>
  <c r="G62" i="5" s="1"/>
  <c r="AE34" i="12"/>
  <c r="AF34" i="12" s="1"/>
  <c r="G32" i="5" s="1"/>
  <c r="AE78" i="12"/>
  <c r="AF78" i="12" s="1"/>
  <c r="G76" i="5" s="1"/>
  <c r="AE39" i="12"/>
  <c r="AF39" i="12" s="1"/>
  <c r="G37" i="5" s="1"/>
  <c r="K62" i="5" l="1"/>
  <c r="M62" i="5" s="1"/>
  <c r="K22" i="5"/>
  <c r="M22" i="5" s="1"/>
  <c r="K25" i="5"/>
  <c r="M25" i="5" s="1"/>
  <c r="K21" i="5"/>
  <c r="M21" i="5" s="1"/>
  <c r="K61" i="5"/>
  <c r="M61" i="5" s="1"/>
  <c r="K6" i="5"/>
  <c r="M6" i="5" s="1"/>
  <c r="K16" i="5"/>
  <c r="M16" i="5" s="1"/>
  <c r="K58" i="5"/>
  <c r="M58" i="5" s="1"/>
  <c r="K55" i="5"/>
  <c r="M55" i="5" s="1"/>
  <c r="K51" i="5"/>
  <c r="M51" i="5" s="1"/>
  <c r="K14" i="5"/>
  <c r="M14" i="5" s="1"/>
  <c r="K24" i="5"/>
  <c r="M24" i="5" s="1"/>
  <c r="K8" i="5"/>
  <c r="M8" i="5" s="1"/>
  <c r="K35" i="5"/>
  <c r="M35" i="5" s="1"/>
  <c r="K38" i="5"/>
  <c r="M38" i="5" s="1"/>
  <c r="K68" i="5"/>
  <c r="M68" i="5" s="1"/>
  <c r="K75" i="5"/>
  <c r="M75" i="5" s="1"/>
  <c r="K72" i="5"/>
  <c r="M72" i="5" s="1"/>
  <c r="K70" i="5"/>
  <c r="M70" i="5" s="1"/>
  <c r="K43" i="5"/>
  <c r="M43" i="5" s="1"/>
  <c r="K63" i="5"/>
  <c r="M63" i="5" s="1"/>
  <c r="K20" i="5"/>
  <c r="M20" i="5" s="1"/>
  <c r="K19" i="5"/>
  <c r="M19" i="5" s="1"/>
  <c r="K27" i="5"/>
  <c r="M27" i="5" s="1"/>
  <c r="K60" i="5"/>
  <c r="M60" i="5" s="1"/>
  <c r="K15" i="5"/>
  <c r="M15" i="5" s="1"/>
  <c r="K54" i="5"/>
  <c r="M54" i="5" s="1"/>
  <c r="K50" i="5"/>
  <c r="M50" i="5" s="1"/>
  <c r="K13" i="5"/>
  <c r="M13" i="5" s="1"/>
  <c r="K48" i="5"/>
  <c r="M48" i="5" s="1"/>
  <c r="K45" i="5"/>
  <c r="M45" i="5" s="1"/>
  <c r="K34" i="5"/>
  <c r="M34" i="5" s="1"/>
  <c r="K64" i="5"/>
  <c r="M64" i="5" s="1"/>
  <c r="K37" i="5"/>
  <c r="M37" i="5" s="1"/>
  <c r="K31" i="5"/>
  <c r="M31" i="5" s="1"/>
  <c r="K66" i="5"/>
  <c r="M66" i="5" s="1"/>
  <c r="K74" i="5"/>
  <c r="M74" i="5" s="1"/>
  <c r="K10" i="5"/>
  <c r="M10" i="5" s="1"/>
  <c r="K69" i="5"/>
  <c r="M69" i="5" s="1"/>
  <c r="K42" i="5"/>
  <c r="M42" i="5" s="1"/>
  <c r="K41" i="5"/>
  <c r="M41" i="5" s="1"/>
  <c r="K28" i="5"/>
  <c r="M28" i="5" s="1"/>
  <c r="K18" i="5"/>
  <c r="M18" i="5" s="1"/>
  <c r="K26" i="5"/>
  <c r="M26" i="5" s="1"/>
  <c r="K57" i="5"/>
  <c r="M57" i="5" s="1"/>
  <c r="K53" i="5"/>
  <c r="M53" i="5" s="1"/>
  <c r="K39" i="5"/>
  <c r="M39" i="5" s="1"/>
  <c r="K23" i="5"/>
  <c r="M23" i="5" s="1"/>
  <c r="K47" i="5"/>
  <c r="M47" i="5" s="1"/>
  <c r="K44" i="5"/>
  <c r="M44" i="5" s="1"/>
  <c r="K40" i="5"/>
  <c r="M40" i="5" s="1"/>
  <c r="K67" i="5"/>
  <c r="M67" i="5" s="1"/>
  <c r="K76" i="5"/>
  <c r="M76" i="5" s="1"/>
  <c r="K32" i="5"/>
  <c r="M32" i="5" s="1"/>
  <c r="K12" i="5"/>
  <c r="M12" i="5" s="1"/>
  <c r="K73" i="5"/>
  <c r="M73" i="5" s="1"/>
  <c r="K71" i="5"/>
  <c r="M71" i="5" s="1"/>
  <c r="K49" i="5"/>
  <c r="M49" i="5" s="1"/>
  <c r="K65" i="5"/>
  <c r="M65" i="5" s="1"/>
  <c r="K30" i="5"/>
  <c r="M30" i="5" s="1"/>
  <c r="K29" i="5"/>
  <c r="M29" i="5" s="1"/>
  <c r="K17" i="5"/>
  <c r="M17" i="5" s="1"/>
  <c r="K59" i="5"/>
  <c r="M59" i="5" s="1"/>
  <c r="K56" i="5"/>
  <c r="M56" i="5" s="1"/>
  <c r="K52" i="5"/>
  <c r="M52" i="5" s="1"/>
  <c r="K7" i="5"/>
  <c r="M7" i="5" s="1"/>
  <c r="K11" i="5"/>
  <c r="M11" i="5" s="1"/>
  <c r="K46" i="5"/>
  <c r="M46" i="5" s="1"/>
  <c r="K36" i="5"/>
  <c r="M36" i="5" s="1"/>
  <c r="K33" i="5"/>
  <c r="M33" i="5" s="1"/>
  <c r="I11" i="10"/>
  <c r="D7" i="10"/>
  <c r="C5" i="10"/>
  <c r="D6" i="10"/>
  <c r="F7" i="10"/>
  <c r="E6" i="10"/>
  <c r="E5" i="10"/>
  <c r="G5" i="10"/>
  <c r="G7" i="10"/>
  <c r="B7" i="10"/>
  <c r="D4" i="10"/>
  <c r="F5" i="10"/>
  <c r="B5" i="10"/>
  <c r="D5" i="10"/>
  <c r="C6" i="10"/>
  <c r="E7" i="10"/>
  <c r="B6" i="10"/>
  <c r="D9" i="10" l="1"/>
  <c r="F9" i="10"/>
  <c r="B9" i="10"/>
  <c r="S7" i="10"/>
  <c r="S4" i="10"/>
  <c r="S5" i="10"/>
  <c r="S6" i="10"/>
  <c r="E11" i="10"/>
  <c r="F11" i="10"/>
  <c r="H11" i="10"/>
  <c r="D11" i="10"/>
  <c r="G11" i="10"/>
  <c r="C11" i="10"/>
  <c r="S12" i="10" l="1"/>
  <c r="S9" i="10"/>
  <c r="S13" i="10"/>
  <c r="M5" i="5"/>
  <c r="M9" i="5"/>
  <c r="C7" i="10"/>
  <c r="C4" i="10"/>
  <c r="C9" i="10" l="1"/>
  <c r="Z6" i="14"/>
  <c r="Z22" i="14"/>
  <c r="Z14" i="14"/>
  <c r="Z7" i="14"/>
  <c r="Z76" i="14"/>
  <c r="Z68" i="14"/>
  <c r="Z60" i="14"/>
  <c r="Z52" i="14"/>
  <c r="Z44" i="14"/>
  <c r="Z36" i="14"/>
  <c r="Z71" i="14"/>
  <c r="Z63" i="14"/>
  <c r="Z55" i="14"/>
  <c r="Z47" i="14"/>
  <c r="Z39" i="14"/>
  <c r="Z32" i="14"/>
  <c r="Z26" i="14"/>
  <c r="Z18" i="14"/>
  <c r="Z10" i="14"/>
  <c r="Z4" i="14"/>
  <c r="Z72" i="14"/>
  <c r="Z64" i="14"/>
  <c r="Z56" i="14"/>
  <c r="Z48" i="14"/>
  <c r="Z40" i="14"/>
  <c r="Z75" i="14"/>
  <c r="Z67" i="14"/>
  <c r="Z59" i="14"/>
  <c r="Z51" i="14"/>
  <c r="Z21" i="14"/>
  <c r="Z43" i="14"/>
  <c r="Z35" i="14"/>
  <c r="Z28" i="14"/>
  <c r="Z25" i="14"/>
  <c r="Z17" i="14"/>
  <c r="Z31" i="14"/>
  <c r="Z20" i="14"/>
  <c r="Z12" i="14"/>
  <c r="Z23" i="14"/>
  <c r="Z15" i="14"/>
  <c r="Z8" i="14"/>
  <c r="Z5" i="14"/>
  <c r="Z74" i="14"/>
  <c r="Z66" i="14"/>
  <c r="Z58" i="14"/>
  <c r="Z50" i="14"/>
  <c r="Z42" i="14"/>
  <c r="Z77" i="14"/>
  <c r="Z69" i="14"/>
  <c r="Z61" i="14"/>
  <c r="Z53" i="14"/>
  <c r="Z45" i="14"/>
  <c r="Z37" i="14"/>
  <c r="Z30" i="14"/>
  <c r="Z29" i="14"/>
  <c r="Z24" i="14"/>
  <c r="Z16" i="14"/>
  <c r="Z27" i="14"/>
  <c r="Z19" i="14"/>
  <c r="Z9" i="14"/>
  <c r="Z78" i="14"/>
  <c r="Z70" i="14"/>
  <c r="Z62" i="14"/>
  <c r="Z54" i="14"/>
  <c r="Z46" i="14"/>
  <c r="Z38" i="14"/>
  <c r="Z73" i="14"/>
  <c r="Z65" i="14"/>
  <c r="Z57" i="14"/>
  <c r="Z49" i="14"/>
  <c r="Z41" i="14"/>
  <c r="Z34" i="14"/>
  <c r="Z33" i="14"/>
  <c r="Z13" i="14"/>
  <c r="Z11" i="14"/>
  <c r="M7" i="10" l="1"/>
  <c r="M5" i="10"/>
  <c r="M6" i="10"/>
  <c r="M4" i="10"/>
  <c r="C12" i="10"/>
  <c r="N7" i="10"/>
  <c r="N4" i="10"/>
  <c r="N6" i="10"/>
  <c r="N5" i="10"/>
  <c r="D12" i="10"/>
  <c r="Q7" i="10"/>
  <c r="Q5" i="10"/>
  <c r="Q6" i="10"/>
  <c r="L7" i="10"/>
  <c r="L4" i="10"/>
  <c r="L5" i="10"/>
  <c r="L6" i="10"/>
  <c r="B12" i="10"/>
  <c r="P5" i="10"/>
  <c r="P7" i="10"/>
  <c r="P4" i="10"/>
  <c r="P6" i="10"/>
  <c r="F12" i="10"/>
  <c r="O7" i="10"/>
  <c r="O13" i="10" s="1"/>
  <c r="O6" i="10"/>
  <c r="O5" i="10"/>
  <c r="R6" i="10"/>
  <c r="R5" i="10"/>
  <c r="R7" i="10"/>
  <c r="R4" i="10"/>
  <c r="H12" i="10"/>
  <c r="L12" i="10" l="1"/>
  <c r="M12" i="10"/>
  <c r="R12" i="10"/>
  <c r="N12" i="10"/>
  <c r="P12" i="10"/>
  <c r="P13" i="10"/>
  <c r="R13" i="10"/>
  <c r="L13" i="10"/>
  <c r="Q13" i="10"/>
  <c r="M13" i="10"/>
  <c r="L9" i="10"/>
  <c r="P9" i="10"/>
  <c r="M9" i="10"/>
  <c r="N9" i="10"/>
  <c r="R9" i="10"/>
  <c r="N13" i="10"/>
  <c r="AF4" i="12" l="1"/>
  <c r="G2" i="5" s="1"/>
  <c r="AF5" i="12"/>
  <c r="G3" i="5" s="1"/>
  <c r="K3" i="5" l="1"/>
  <c r="M3" i="5" s="1"/>
  <c r="K2" i="5"/>
  <c r="M2" i="5" s="1"/>
  <c r="AF6" i="12"/>
  <c r="G4" i="5" s="1"/>
  <c r="E4" i="10"/>
  <c r="E9" i="10" l="1"/>
  <c r="E12" i="10" s="1"/>
  <c r="O4" i="10"/>
  <c r="O12" i="10" s="1"/>
  <c r="K4" i="5"/>
  <c r="M4" i="5" s="1"/>
  <c r="G4" i="10"/>
  <c r="O9" i="10" l="1"/>
  <c r="G9" i="10"/>
  <c r="G12" i="10" s="1"/>
  <c r="Q4" i="10"/>
  <c r="Q12" i="10" s="1"/>
  <c r="Q9" i="10" l="1"/>
</calcChain>
</file>

<file path=xl/sharedStrings.xml><?xml version="1.0" encoding="utf-8"?>
<sst xmlns="http://schemas.openxmlformats.org/spreadsheetml/2006/main" count="2113" uniqueCount="307">
  <si>
    <t>Proyecto</t>
  </si>
  <si>
    <t>SEG</t>
  </si>
  <si>
    <t>Stryker</t>
  </si>
  <si>
    <t>Invacare</t>
  </si>
  <si>
    <t>Aristocrat</t>
  </si>
  <si>
    <t>HRS</t>
  </si>
  <si>
    <t>CUSTOMER</t>
  </si>
  <si>
    <t xml:space="preserve">Cliente </t>
  </si>
  <si>
    <t xml:space="preserve">Proyecto </t>
  </si>
  <si>
    <t># Parte</t>
  </si>
  <si>
    <t>T. TOTAL</t>
  </si>
  <si>
    <t>STRYKER</t>
  </si>
  <si>
    <t>INVACARE</t>
  </si>
  <si>
    <t>Cliente</t>
  </si>
  <si>
    <t># parte</t>
  </si>
  <si>
    <t>Clasificacion</t>
  </si>
  <si>
    <t>observaciones</t>
  </si>
  <si>
    <t xml:space="preserve">MIN </t>
  </si>
  <si>
    <t>WORK WEEKS</t>
  </si>
  <si>
    <t>WORK DAYS</t>
  </si>
  <si>
    <t>HOLOGIC</t>
  </si>
  <si>
    <t>DEMAND</t>
  </si>
  <si>
    <t>DEMANDA DIARIA</t>
  </si>
  <si>
    <t>TURNOS</t>
  </si>
  <si>
    <t>HORAS</t>
  </si>
  <si>
    <t>MONTH</t>
  </si>
  <si>
    <t>ARISTOCRAT</t>
  </si>
  <si>
    <t>Dias de T</t>
  </si>
  <si>
    <t>SEALED AIR</t>
  </si>
  <si>
    <t>Turnos</t>
  </si>
  <si>
    <t>DIAS TRAB.</t>
  </si>
  <si>
    <t>Hrs</t>
  </si>
  <si>
    <t>PROYECTO</t>
  </si>
  <si>
    <t>LIMITE</t>
  </si>
  <si>
    <t>T. Matto. HR x dia</t>
  </si>
  <si>
    <t>T. TOTAL+ MTTO.</t>
  </si>
  <si>
    <t>Disponibilidad maq.</t>
  </si>
  <si>
    <t>Ocupacion maquina</t>
  </si>
  <si>
    <t>TORNO</t>
  </si>
  <si>
    <t>pzas</t>
  </si>
  <si>
    <t>27-2115</t>
  </si>
  <si>
    <t>tubo Platico</t>
  </si>
  <si>
    <t>27-2018</t>
  </si>
  <si>
    <t>tubo Chico</t>
  </si>
  <si>
    <t>27-0804</t>
  </si>
  <si>
    <t>tubo mediano</t>
  </si>
  <si>
    <t>27-2053</t>
  </si>
  <si>
    <t>27-1354</t>
  </si>
  <si>
    <t>27-1336</t>
  </si>
  <si>
    <t>27-1833</t>
  </si>
  <si>
    <t>27-2058</t>
  </si>
  <si>
    <t>27-1705</t>
  </si>
  <si>
    <t>Tornillo chico</t>
  </si>
  <si>
    <t>19-0777</t>
  </si>
  <si>
    <t>27-1925</t>
  </si>
  <si>
    <t>Ruedita plastico</t>
  </si>
  <si>
    <t>19-0403</t>
  </si>
  <si>
    <t>plaquita</t>
  </si>
  <si>
    <t>27-2235</t>
  </si>
  <si>
    <t>tubito</t>
  </si>
  <si>
    <t>17-0085</t>
  </si>
  <si>
    <t>19-0973</t>
  </si>
  <si>
    <t>Rondana mediana</t>
  </si>
  <si>
    <t>27-2022</t>
  </si>
  <si>
    <t>19-0723</t>
  </si>
  <si>
    <t>Tuerca plastico</t>
  </si>
  <si>
    <t>19-0999</t>
  </si>
  <si>
    <t>Tuerca chica</t>
  </si>
  <si>
    <t>64-0731</t>
  </si>
  <si>
    <t>27-1375</t>
  </si>
  <si>
    <t>27-1181</t>
  </si>
  <si>
    <t xml:space="preserve">tubo grande </t>
  </si>
  <si>
    <t>27-2103</t>
  </si>
  <si>
    <t>Rosca plastica m</t>
  </si>
  <si>
    <t>27-1441</t>
  </si>
  <si>
    <t xml:space="preserve">Tuerca grande </t>
  </si>
  <si>
    <t>27-2817</t>
  </si>
  <si>
    <t>27-2116</t>
  </si>
  <si>
    <t>Rosca plastica d</t>
  </si>
  <si>
    <t>27-0915</t>
  </si>
  <si>
    <t xml:space="preserve">Rosca metalica m </t>
  </si>
  <si>
    <t>19-0237</t>
  </si>
  <si>
    <t>tuvo mediano conico</t>
  </si>
  <si>
    <t>27-0485</t>
  </si>
  <si>
    <t>Tubo metalico sincado</t>
  </si>
  <si>
    <t>19-0820</t>
  </si>
  <si>
    <t>pieza plastica</t>
  </si>
  <si>
    <t>64-1263</t>
  </si>
  <si>
    <t>tornillo grande</t>
  </si>
  <si>
    <t>17-0115</t>
  </si>
  <si>
    <t>64-1285</t>
  </si>
  <si>
    <t>27-1839</t>
  </si>
  <si>
    <t>tuerca mediana</t>
  </si>
  <si>
    <t>64-1270</t>
  </si>
  <si>
    <t>27-1150</t>
  </si>
  <si>
    <t>Tuerca plastico Med</t>
  </si>
  <si>
    <t>19-0514</t>
  </si>
  <si>
    <t>19-0807</t>
  </si>
  <si>
    <t>Bracket Med</t>
  </si>
  <si>
    <t>25-0249</t>
  </si>
  <si>
    <t>25-0300</t>
  </si>
  <si>
    <t>L-2109</t>
  </si>
  <si>
    <t>Rosca plastica</t>
  </si>
  <si>
    <t>19-0272</t>
  </si>
  <si>
    <t>19-0248</t>
  </si>
  <si>
    <t>tubo mediano plas</t>
  </si>
  <si>
    <t>19-0402</t>
  </si>
  <si>
    <t>27-2057</t>
  </si>
  <si>
    <t>25-0514</t>
  </si>
  <si>
    <t>25-0521</t>
  </si>
  <si>
    <t>19-0349</t>
  </si>
  <si>
    <t>Se mide cada 5 piezas</t>
  </si>
  <si>
    <t>19-0869</t>
  </si>
  <si>
    <t>tuerca mediana doble</t>
  </si>
  <si>
    <t>25-0403</t>
  </si>
  <si>
    <t>27-1923</t>
  </si>
  <si>
    <t>27-1623</t>
  </si>
  <si>
    <t>Rosca plastica grande</t>
  </si>
  <si>
    <t>se mide 2 pieza de cada 10</t>
  </si>
  <si>
    <t>27-2021</t>
  </si>
  <si>
    <t>Se mide el 50%</t>
  </si>
  <si>
    <t>27-1012</t>
  </si>
  <si>
    <t>Se mide 100%</t>
  </si>
  <si>
    <t>VG50A1259</t>
  </si>
  <si>
    <t>se mide 1 de 5</t>
  </si>
  <si>
    <t>27-1180</t>
  </si>
  <si>
    <t>se mide 1 de 10</t>
  </si>
  <si>
    <t>21-3613</t>
  </si>
  <si>
    <t>se mide 1 de 4</t>
  </si>
  <si>
    <t>27-1449</t>
  </si>
  <si>
    <t>27-1636</t>
  </si>
  <si>
    <t xml:space="preserve">Rosca plastica chica </t>
  </si>
  <si>
    <t>27-0919</t>
  </si>
  <si>
    <t>19-0271</t>
  </si>
  <si>
    <t>27-1948</t>
  </si>
  <si>
    <t>Rondana pequeña</t>
  </si>
  <si>
    <t>se mide 3 de 10</t>
  </si>
  <si>
    <t>19-0211</t>
  </si>
  <si>
    <t>27-2097</t>
  </si>
  <si>
    <t>19-0814</t>
  </si>
  <si>
    <t>tubo pequeño</t>
  </si>
  <si>
    <t>se mide 1 de 10 por que salen 150 por hora</t>
  </si>
  <si>
    <t>27-2063</t>
  </si>
  <si>
    <t>25-0527</t>
  </si>
  <si>
    <t>Se mide 100% porque cuando se termina la barra sale uno mas chico</t>
  </si>
  <si>
    <t>25-0451</t>
  </si>
  <si>
    <t>Rosca plastica Med</t>
  </si>
  <si>
    <t>27-1981</t>
  </si>
  <si>
    <t>19-0806</t>
  </si>
  <si>
    <t>27-1138</t>
  </si>
  <si>
    <t>27-2227</t>
  </si>
  <si>
    <t>27-1920</t>
  </si>
  <si>
    <t>17-0082</t>
  </si>
  <si>
    <t>MF-2115</t>
  </si>
  <si>
    <t>27-1447</t>
  </si>
  <si>
    <t>seg</t>
  </si>
  <si>
    <t>hrs</t>
  </si>
  <si>
    <t>Torno 1</t>
  </si>
  <si>
    <t>Torno 2</t>
  </si>
  <si>
    <t>Torno 3</t>
  </si>
  <si>
    <t>Torno 4</t>
  </si>
  <si>
    <t>Torno 5</t>
  </si>
  <si>
    <t>Torno 6</t>
  </si>
  <si>
    <t>TOTAL (Hrs)</t>
  </si>
  <si>
    <t>ITEM</t>
  </si>
  <si>
    <t>QTY</t>
  </si>
  <si>
    <t>SKR-MF-27-1336</t>
  </si>
  <si>
    <t>SKR-MF-27-2018</t>
  </si>
  <si>
    <t>SKR-MF-27-2235</t>
  </si>
  <si>
    <t>SKR-MF-27-1705</t>
  </si>
  <si>
    <t>SKR-MF-25-0527</t>
  </si>
  <si>
    <t>SKR-MF-27-2058</t>
  </si>
  <si>
    <t>SKR-MF-27-0804</t>
  </si>
  <si>
    <t>SKR-MF-27-1180</t>
  </si>
  <si>
    <t>SKR-MF-27-1833</t>
  </si>
  <si>
    <t>SKR-MF-27-1375</t>
  </si>
  <si>
    <t>SKR-MF-27-2022</t>
  </si>
  <si>
    <t>SKR-MF-27-2097</t>
  </si>
  <si>
    <t>SKR-MF-27-2053</t>
  </si>
  <si>
    <t>SKR-MF-27-1012</t>
  </si>
  <si>
    <t>SKR-MF-27-1839</t>
  </si>
  <si>
    <t>SKR-MF-27-0915</t>
  </si>
  <si>
    <t>SKR-MF-27-1948</t>
  </si>
  <si>
    <t>SKR-MF-27-0485</t>
  </si>
  <si>
    <t>SKR-MF-27-1138</t>
  </si>
  <si>
    <t>SKR-MF-27-1920</t>
  </si>
  <si>
    <t>SKR-MF-21-3613</t>
  </si>
  <si>
    <t>SKR-MF-27-0919</t>
  </si>
  <si>
    <t>SKR-MF-27-2063</t>
  </si>
  <si>
    <t>SKR-MF-27-1636</t>
  </si>
  <si>
    <t>SKR-MF-27-1150</t>
  </si>
  <si>
    <t>SKR-MF-27-2115</t>
  </si>
  <si>
    <t>SKR-MF-27-1449</t>
  </si>
  <si>
    <t>SKR-MF-27-1354</t>
  </si>
  <si>
    <t>SKR-MF-27-1925</t>
  </si>
  <si>
    <t>SKR-MF-27-1181</t>
  </si>
  <si>
    <t>SKR-MF-27-2116</t>
  </si>
  <si>
    <t>SKR-MF-27-2227</t>
  </si>
  <si>
    <t>SKR-MF-27-1623</t>
  </si>
  <si>
    <t>SKR-MF-27-1923</t>
  </si>
  <si>
    <t>SKR-MF-27-2057</t>
  </si>
  <si>
    <t>SKR-MF-27-1981</t>
  </si>
  <si>
    <t>SKR-MF-27-1447</t>
  </si>
  <si>
    <t>SKR-MF-27-2021</t>
  </si>
  <si>
    <t>SKR-MF-27-2103</t>
  </si>
  <si>
    <t>SKR-MF-17-0115</t>
  </si>
  <si>
    <t>SKR-MF-25-0403</t>
  </si>
  <si>
    <t>SKR-SK-25-0521</t>
  </si>
  <si>
    <t>SKR-SK-25-0451</t>
  </si>
  <si>
    <t>SKR-MF-25-0249</t>
  </si>
  <si>
    <t>SKR-MF-25-0300</t>
  </si>
  <si>
    <t>SKR-MF-25-0514</t>
  </si>
  <si>
    <t>SKR-MF-17-0085</t>
  </si>
  <si>
    <t>SKR-MF-19-0211</t>
  </si>
  <si>
    <t>SKR-MF-19-0820</t>
  </si>
  <si>
    <t>SKR-MF-19-0723</t>
  </si>
  <si>
    <t>SKR-MF-19-0271</t>
  </si>
  <si>
    <t>SKR-MF-19-0349</t>
  </si>
  <si>
    <t>SKR-SK-19-0973</t>
  </si>
  <si>
    <t>SKR-MF-19-0403</t>
  </si>
  <si>
    <t>SKR-MF-19-0806</t>
  </si>
  <si>
    <t>SKR-MF-19-0814</t>
  </si>
  <si>
    <t>SKR-KT-19-0272</t>
  </si>
  <si>
    <t>SKR-SK-19-0869</t>
  </si>
  <si>
    <t>SKR-MF-19-0514</t>
  </si>
  <si>
    <t>SKR-MF-19-0807</t>
  </si>
  <si>
    <t>SKR-SK-19-0248</t>
  </si>
  <si>
    <t>SKR-SK-19-0999</t>
  </si>
  <si>
    <t>SKR-MF-64-1270</t>
  </si>
  <si>
    <t>SKR-MF-64-1263</t>
  </si>
  <si>
    <t>SKR-MF-64-0731</t>
  </si>
  <si>
    <t>SKR-SK-64-1285</t>
  </si>
  <si>
    <t>SKR-MF-2116</t>
  </si>
  <si>
    <t>SKR-CN-VG50A1260</t>
  </si>
  <si>
    <t>SKR-MF-27-1441</t>
  </si>
  <si>
    <t>SKR-MF-27-2817</t>
  </si>
  <si>
    <t># PART</t>
  </si>
  <si>
    <t>X</t>
  </si>
  <si>
    <t>PROJECT</t>
  </si>
  <si>
    <t>SUBPROJECT</t>
  </si>
  <si>
    <t>MACHINE</t>
  </si>
  <si>
    <t>S.U./DEMANDA (Hr)</t>
  </si>
  <si>
    <t>C.T *DEMANDA (Hr)</t>
  </si>
  <si>
    <t>T. TOTAL (Hr)</t>
  </si>
  <si>
    <t>SKR-MF-L2109</t>
  </si>
  <si>
    <t>SKR-MF-9-0777</t>
  </si>
  <si>
    <t>SKR-MF-19-0237</t>
  </si>
  <si>
    <t>SKR-SK-19-0402</t>
  </si>
  <si>
    <t>SKR-SK-17-0082</t>
  </si>
  <si>
    <t>SEG TOTALES</t>
  </si>
  <si>
    <t>WORK MONTH</t>
  </si>
  <si>
    <t>Sealed Air</t>
  </si>
  <si>
    <t>Hologic</t>
  </si>
  <si>
    <t>In Touch.CNC</t>
  </si>
  <si>
    <t>Go Bed.CNC</t>
  </si>
  <si>
    <t>Cub.CNC</t>
  </si>
  <si>
    <t>Accesorios SKR.CNC</t>
  </si>
  <si>
    <t>SET UP (Hr)</t>
  </si>
  <si>
    <t>CYCLE TIME</t>
  </si>
  <si>
    <t>CYCLE TIME * QTY</t>
  </si>
  <si>
    <t>Demanda</t>
  </si>
  <si>
    <t>SET UP</t>
  </si>
  <si>
    <t>TIME CYCLE</t>
  </si>
  <si>
    <t>MIN</t>
  </si>
  <si>
    <t>RE-WORK</t>
  </si>
  <si>
    <t>Frecuencia</t>
  </si>
  <si>
    <t>Cycle Time</t>
  </si>
  <si>
    <t xml:space="preserve">T. Validacion Tecnico </t>
  </si>
  <si>
    <t>T. RW</t>
  </si>
  <si>
    <t>Medicion CALIDAD</t>
  </si>
  <si>
    <t>PROMEDIADO</t>
  </si>
  <si>
    <t>REAL</t>
  </si>
  <si>
    <t>Proveedor 1</t>
  </si>
  <si>
    <t>Proveedor 2</t>
  </si>
  <si>
    <t>SECTOR</t>
  </si>
  <si>
    <t>Sector</t>
  </si>
  <si>
    <t>SIN DATO</t>
  </si>
  <si>
    <t>T. Medicion (Hr)</t>
  </si>
  <si>
    <t>T. RW (Hr)</t>
  </si>
  <si>
    <t>T. Lib Tecnico+ (Hr)</t>
  </si>
  <si>
    <t>RW*DEMANDA (Hr)</t>
  </si>
  <si>
    <t>T. Medicion*DEMANDA (Hr)</t>
  </si>
  <si>
    <t>L.T*DEMANDA (Hrs)</t>
  </si>
  <si>
    <t>MF Medical</t>
  </si>
  <si>
    <t>MF Industrial</t>
  </si>
  <si>
    <t>MAQUINA</t>
  </si>
  <si>
    <t>DEMANDA</t>
  </si>
  <si>
    <t>Arc</t>
  </si>
  <si>
    <t>Top Arc</t>
  </si>
  <si>
    <t>Top Box</t>
  </si>
  <si>
    <t>Mars Slant</t>
  </si>
  <si>
    <t>Mars Upright</t>
  </si>
  <si>
    <t>Helix</t>
  </si>
  <si>
    <t>Helix XT</t>
  </si>
  <si>
    <t>Relm</t>
  </si>
  <si>
    <t>Stepper</t>
  </si>
  <si>
    <t>Flame</t>
  </si>
  <si>
    <t>Edge X</t>
  </si>
  <si>
    <t>In Touch</t>
  </si>
  <si>
    <t>Go Bed</t>
  </si>
  <si>
    <t>Cub</t>
  </si>
  <si>
    <t>Accesorios SKR</t>
  </si>
  <si>
    <t>Camas Invacare</t>
  </si>
  <si>
    <t>Rieles</t>
  </si>
  <si>
    <t>Accesorios IRC</t>
  </si>
  <si>
    <t>ProPad</t>
  </si>
  <si>
    <t>Tortugas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</si>
</sst>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 [$$-C0C]"/>
    <numFmt numFmtId="165" formatCode="0.0000"/>
    <numFmt numFmtId="166" formatCode="[$-409]mmm\-yy;@"/>
    <numFmt numFmtId="167" formatCode="0.0"/>
    <numFmt numFmtId="168" formatCode="0.000"/>
  </numFmts>
  <fonts count="26" x14ac:knownFonts="1">
    <font>
      <sz val="11"/>
      <color theme="1"/>
      <name val="Calibri"/>
      <family val="2"/>
      <scheme val="minor"/>
    </font>
    <font>
      <sz val="11"/>
      <color theme="1"/>
      <name val="Calibri"/>
      <family val="2"/>
      <scheme val="minor"/>
    </font>
    <font>
      <b/>
      <sz val="10"/>
      <name val="Arial"/>
      <family val="2"/>
    </font>
    <font>
      <sz val="10"/>
      <color indexed="8"/>
      <name val="Arial"/>
      <family val="2"/>
    </font>
    <font>
      <sz val="11"/>
      <color indexed="8"/>
      <name val="Arial"/>
      <family val="2"/>
    </font>
    <font>
      <sz val="11"/>
      <color theme="0"/>
      <name val="Calibri"/>
      <family val="2"/>
      <scheme val="minor"/>
    </font>
    <font>
      <sz val="11"/>
      <color indexed="8"/>
      <name val="Calibri"/>
      <family val="2"/>
    </font>
    <font>
      <b/>
      <sz val="9"/>
      <name val="Arial"/>
      <family val="2"/>
    </font>
    <font>
      <b/>
      <sz val="12"/>
      <color theme="0"/>
      <name val="Arial"/>
      <family val="2"/>
    </font>
    <font>
      <b/>
      <sz val="11"/>
      <color theme="3"/>
      <name val="Tahoma"/>
      <family val="2"/>
    </font>
    <font>
      <sz val="11"/>
      <name val="Calibri"/>
      <family val="2"/>
      <scheme val="minor"/>
    </font>
    <font>
      <sz val="8"/>
      <name val="Calibri"/>
      <family val="2"/>
      <scheme val="minor"/>
    </font>
    <font>
      <sz val="9"/>
      <name val="Arial"/>
      <family val="2"/>
    </font>
    <font>
      <b/>
      <sz val="11"/>
      <color theme="1"/>
      <name val="Calibri"/>
      <family val="2"/>
      <scheme val="minor"/>
    </font>
    <font>
      <b/>
      <sz val="10"/>
      <color rgb="FFFFFFFF"/>
      <name val="Arial"/>
      <family val="2"/>
      <charset val="1"/>
    </font>
    <font>
      <sz val="8"/>
      <name val="Arial"/>
      <family val="2"/>
    </font>
    <font>
      <sz val="8"/>
      <name val="Calibri"/>
      <family val="2"/>
    </font>
    <font>
      <sz val="8"/>
      <color rgb="FF000000"/>
      <name val="Arial"/>
      <family val="2"/>
    </font>
    <font>
      <b/>
      <sz val="8"/>
      <color rgb="FF000000"/>
      <name val="Arial"/>
      <family val="2"/>
    </font>
    <font>
      <sz val="8"/>
      <color rgb="FF000000"/>
      <name val="Calibri"/>
      <family val="2"/>
    </font>
    <font>
      <b/>
      <sz val="8"/>
      <color rgb="FF44546A"/>
      <name val="Tahoma"/>
      <family val="2"/>
    </font>
    <font>
      <sz val="9"/>
      <color rgb="FF000000"/>
      <name val="Arial"/>
      <family val="2"/>
    </font>
    <font>
      <b/>
      <sz val="9"/>
      <color theme="0"/>
      <name val="Arial"/>
      <family val="2"/>
    </font>
    <font>
      <sz val="9"/>
      <color theme="1"/>
      <name val="Arial"/>
      <family val="2"/>
    </font>
    <font>
      <b/>
      <sz val="9"/>
      <color theme="1"/>
      <name val="Arial"/>
      <family val="2"/>
    </font>
    <font>
      <b/>
      <sz val="9"/>
      <color theme="3"/>
      <name val="Arial"/>
      <family val="2"/>
    </font>
  </fonts>
  <fills count="20">
    <fill>
      <patternFill patternType="none"/>
    </fill>
    <fill>
      <patternFill patternType="gray125"/>
    </fill>
    <fill>
      <patternFill patternType="solid">
        <fgColor rgb="FF002060"/>
        <bgColor indexed="64"/>
      </patternFill>
    </fill>
    <fill>
      <patternFill patternType="solid">
        <fgColor theme="4" tint="0.79998168889431442"/>
        <bgColor indexed="64"/>
      </patternFill>
    </fill>
    <fill>
      <patternFill patternType="solid">
        <fgColor theme="8" tint="-0.499984740745262"/>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rgb="FFFFFF00"/>
        <bgColor indexed="64"/>
      </patternFill>
    </fill>
    <fill>
      <patternFill patternType="solid">
        <fgColor rgb="FF002060"/>
        <bgColor rgb="FF00274E"/>
      </patternFill>
    </fill>
    <fill>
      <patternFill patternType="solid">
        <fgColor rgb="FFB4C6E7"/>
        <bgColor rgb="FF000000"/>
      </patternFill>
    </fill>
    <fill>
      <patternFill patternType="solid">
        <fgColor rgb="FFFFFFFF"/>
        <bgColor rgb="FF000000"/>
      </patternFill>
    </fill>
    <fill>
      <patternFill patternType="solid">
        <fgColor rgb="FFAEAAAA"/>
        <bgColor rgb="FF000000"/>
      </patternFill>
    </fill>
    <fill>
      <patternFill patternType="solid">
        <fgColor rgb="FFD0CECE"/>
        <bgColor rgb="FF000000"/>
      </patternFill>
    </fill>
    <fill>
      <patternFill patternType="solid">
        <fgColor rgb="FF8EA9DB"/>
        <bgColor rgb="FF000000"/>
      </patternFill>
    </fill>
    <fill>
      <patternFill patternType="solid">
        <fgColor theme="5" tint="0.39997558519241921"/>
        <bgColor indexed="64"/>
      </patternFill>
    </fill>
    <fill>
      <patternFill patternType="solid">
        <fgColor rgb="FF92D050"/>
        <bgColor indexed="64"/>
      </patternFill>
    </fill>
    <fill>
      <patternFill patternType="solid">
        <fgColor theme="4" tint="0.59999389629810485"/>
        <bgColor indexed="64"/>
      </patternFill>
    </fill>
    <fill>
      <patternFill patternType="solid">
        <fgColor rgb="FFFF0000"/>
        <bgColor indexed="64"/>
      </patternFill>
    </fill>
    <fill>
      <patternFill patternType="solid">
        <fgColor theme="0"/>
        <bgColor rgb="FF000000"/>
      </patternFill>
    </fill>
    <fill>
      <patternFill patternType="solid">
        <fgColor theme="0"/>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right/>
      <top style="medium">
        <color indexed="64"/>
      </top>
      <bottom style="thin">
        <color indexed="64"/>
      </bottom>
      <diagonal/>
    </border>
    <border>
      <left/>
      <right/>
      <top/>
      <bottom style="thin">
        <color indexed="64"/>
      </bottom>
      <diagonal/>
    </border>
    <border>
      <left/>
      <right style="thin">
        <color indexed="64"/>
      </right>
      <top style="medium">
        <color indexed="64"/>
      </top>
      <bottom style="thin">
        <color indexed="64"/>
      </bottom>
      <diagonal/>
    </border>
    <border>
      <left style="thin">
        <color rgb="FFAFABAB"/>
      </left>
      <right style="thin">
        <color rgb="FFAFABAB"/>
      </right>
      <top style="medium">
        <color rgb="FF002060"/>
      </top>
      <bottom style="thin">
        <color rgb="FFAFABAB"/>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right style="thin">
        <color indexed="64"/>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s>
  <cellStyleXfs count="6">
    <xf numFmtId="0" fontId="0" fillId="0" borderId="0"/>
    <xf numFmtId="9" fontId="1" fillId="0" borderId="0" applyFont="0" applyFill="0" applyBorder="0" applyAlignment="0" applyProtection="0"/>
    <xf numFmtId="164" fontId="3" fillId="0" borderId="0">
      <alignment vertical="top"/>
    </xf>
    <xf numFmtId="0" fontId="6" fillId="0" borderId="0"/>
    <xf numFmtId="164" fontId="3" fillId="0" borderId="0">
      <alignment vertical="top"/>
    </xf>
    <xf numFmtId="0" fontId="1" fillId="0" borderId="0"/>
  </cellStyleXfs>
  <cellXfs count="178">
    <xf numFmtId="0" fontId="0" fillId="0" borderId="0" xfId="0"/>
    <xf numFmtId="0" fontId="0" fillId="0" borderId="1" xfId="0" applyBorder="1"/>
    <xf numFmtId="0" fontId="0" fillId="0" borderId="1" xfId="0" applyBorder="1" applyAlignment="1">
      <alignment wrapText="1"/>
    </xf>
    <xf numFmtId="0" fontId="0" fillId="0" borderId="1" xfId="0" applyFill="1" applyBorder="1"/>
    <xf numFmtId="9" fontId="0" fillId="0" borderId="1" xfId="1" applyFont="1" applyBorder="1"/>
    <xf numFmtId="0" fontId="4" fillId="0" borderId="1" xfId="2" applyNumberFormat="1" applyFont="1" applyFill="1" applyBorder="1" applyAlignment="1">
      <alignment horizontal="center" vertical="top"/>
    </xf>
    <xf numFmtId="0" fontId="4" fillId="0" borderId="1" xfId="2" applyNumberFormat="1" applyFont="1" applyFill="1" applyBorder="1" applyAlignment="1">
      <alignment vertical="center"/>
    </xf>
    <xf numFmtId="165" fontId="0" fillId="0" borderId="1" xfId="0" applyNumberFormat="1" applyBorder="1"/>
    <xf numFmtId="0" fontId="5" fillId="2" borderId="1" xfId="0" applyFont="1" applyFill="1" applyBorder="1"/>
    <xf numFmtId="0" fontId="0" fillId="0" borderId="1" xfId="0" applyBorder="1" applyAlignment="1">
      <alignment horizontal="center"/>
    </xf>
    <xf numFmtId="0" fontId="5" fillId="2" borderId="12" xfId="0" applyFont="1" applyFill="1" applyBorder="1" applyAlignment="1">
      <alignment horizontal="center" vertical="center"/>
    </xf>
    <xf numFmtId="0" fontId="5" fillId="2" borderId="13" xfId="0" applyFont="1" applyFill="1" applyBorder="1" applyAlignment="1">
      <alignment horizontal="center" vertical="center"/>
    </xf>
    <xf numFmtId="0" fontId="0" fillId="0" borderId="17"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1" xfId="0" applyBorder="1" applyAlignment="1" applyProtection="1">
      <alignment horizontal="right"/>
      <protection locked="0"/>
    </xf>
    <xf numFmtId="1" fontId="9" fillId="3" borderId="1" xfId="4" applyNumberFormat="1" applyFont="1" applyFill="1" applyBorder="1" applyAlignment="1">
      <alignment horizontal="center"/>
    </xf>
    <xf numFmtId="0" fontId="0" fillId="6" borderId="1" xfId="0" applyFill="1" applyBorder="1"/>
    <xf numFmtId="168" fontId="0" fillId="0" borderId="1" xfId="0" applyNumberFormat="1" applyBorder="1"/>
    <xf numFmtId="168" fontId="0" fillId="6" borderId="1" xfId="0" applyNumberFormat="1" applyFill="1" applyBorder="1"/>
    <xf numFmtId="167" fontId="0" fillId="0" borderId="1" xfId="0" applyNumberFormat="1" applyBorder="1"/>
    <xf numFmtId="9" fontId="0" fillId="6" borderId="1" xfId="1" applyFont="1" applyFill="1" applyBorder="1"/>
    <xf numFmtId="9" fontId="0" fillId="0" borderId="1" xfId="0" applyNumberFormat="1" applyBorder="1"/>
    <xf numFmtId="0" fontId="0" fillId="0" borderId="1" xfId="0" applyBorder="1" applyAlignment="1">
      <alignment horizontal="center" vertical="center"/>
    </xf>
    <xf numFmtId="165" fontId="0" fillId="0" borderId="1" xfId="0" applyNumberFormat="1" applyBorder="1" applyAlignment="1">
      <alignment wrapText="1"/>
    </xf>
    <xf numFmtId="0" fontId="0" fillId="0" borderId="1" xfId="0" applyBorder="1" applyAlignment="1">
      <alignment horizontal="right" vertical="center"/>
    </xf>
    <xf numFmtId="165" fontId="0" fillId="0" borderId="1" xfId="0" applyNumberFormat="1" applyBorder="1" applyAlignment="1">
      <alignment horizontal="right" wrapText="1"/>
    </xf>
    <xf numFmtId="0" fontId="0" fillId="0" borderId="1" xfId="0" applyFill="1" applyBorder="1" applyAlignment="1">
      <alignment horizontal="center" vertical="center"/>
    </xf>
    <xf numFmtId="165" fontId="0" fillId="0" borderId="1" xfId="0" applyNumberFormat="1" applyFill="1" applyBorder="1" applyAlignment="1">
      <alignment wrapText="1"/>
    </xf>
    <xf numFmtId="165" fontId="0" fillId="0" borderId="1" xfId="0" applyNumberFormat="1" applyFill="1" applyBorder="1"/>
    <xf numFmtId="0" fontId="0" fillId="0" borderId="1" xfId="0" applyFill="1" applyBorder="1" applyAlignment="1">
      <alignment horizontal="center"/>
    </xf>
    <xf numFmtId="165" fontId="10" fillId="0" borderId="1" xfId="0" applyNumberFormat="1" applyFont="1" applyFill="1" applyBorder="1"/>
    <xf numFmtId="0" fontId="5" fillId="2" borderId="6" xfId="0" applyFont="1" applyFill="1" applyBorder="1"/>
    <xf numFmtId="0" fontId="4" fillId="0" borderId="6" xfId="2" applyNumberFormat="1" applyFont="1" applyFill="1" applyBorder="1" applyAlignment="1">
      <alignment horizontal="center" vertical="top"/>
    </xf>
    <xf numFmtId="0" fontId="13" fillId="0" borderId="1" xfId="0" applyFont="1" applyBorder="1" applyAlignment="1">
      <alignment horizontal="center" vertical="center"/>
    </xf>
    <xf numFmtId="0" fontId="5" fillId="2" borderId="0" xfId="0" applyFont="1" applyFill="1" applyAlignment="1">
      <alignment vertical="center"/>
    </xf>
    <xf numFmtId="0" fontId="5" fillId="2" borderId="1" xfId="0" applyFont="1" applyFill="1" applyBorder="1" applyAlignment="1">
      <alignment vertical="center"/>
    </xf>
    <xf numFmtId="0" fontId="5" fillId="4" borderId="1" xfId="0" applyFont="1" applyFill="1" applyBorder="1" applyAlignment="1">
      <alignment vertical="center"/>
    </xf>
    <xf numFmtId="0" fontId="5" fillId="2" borderId="1" xfId="0" applyFont="1" applyFill="1" applyBorder="1" applyAlignment="1">
      <alignment vertical="center" wrapText="1"/>
    </xf>
    <xf numFmtId="0" fontId="5" fillId="2" borderId="3" xfId="0" applyFont="1" applyFill="1" applyBorder="1" applyAlignment="1">
      <alignment vertical="center"/>
    </xf>
    <xf numFmtId="0" fontId="0" fillId="0" borderId="0" xfId="0" applyAlignment="1">
      <alignment horizontal="left"/>
    </xf>
    <xf numFmtId="17" fontId="14" fillId="8" borderId="26" xfId="0" applyNumberFormat="1" applyFont="1" applyFill="1" applyBorder="1" applyAlignment="1">
      <alignment horizontal="center" vertical="center"/>
    </xf>
    <xf numFmtId="0" fontId="17" fillId="0" borderId="0" xfId="0" applyFont="1" applyFill="1" applyBorder="1" applyAlignment="1">
      <alignment vertical="center"/>
    </xf>
    <xf numFmtId="0" fontId="17" fillId="9" borderId="1" xfId="0" applyFont="1" applyFill="1" applyBorder="1" applyAlignment="1">
      <alignment vertical="center"/>
    </xf>
    <xf numFmtId="0" fontId="18" fillId="9" borderId="1" xfId="0" applyFont="1" applyFill="1" applyBorder="1" applyAlignment="1" applyProtection="1">
      <alignment horizontal="center" vertical="center"/>
      <protection locked="0" hidden="1"/>
    </xf>
    <xf numFmtId="0" fontId="17" fillId="10" borderId="1" xfId="0" applyFont="1" applyFill="1" applyBorder="1" applyAlignment="1">
      <alignment horizontal="center" vertical="center"/>
    </xf>
    <xf numFmtId="0" fontId="17" fillId="10" borderId="1" xfId="0" applyFont="1" applyFill="1" applyBorder="1" applyAlignment="1">
      <alignment vertical="center"/>
    </xf>
    <xf numFmtId="0" fontId="15" fillId="10" borderId="1" xfId="0" applyFont="1" applyFill="1" applyBorder="1" applyAlignment="1">
      <alignment horizontal="left" vertical="center"/>
    </xf>
    <xf numFmtId="0" fontId="18" fillId="0" borderId="1" xfId="0" applyFont="1" applyFill="1" applyBorder="1" applyAlignment="1" applyProtection="1">
      <alignment horizontal="center" vertical="center"/>
      <protection locked="0" hidden="1"/>
    </xf>
    <xf numFmtId="0" fontId="19" fillId="11" borderId="1" xfId="0" applyFont="1" applyFill="1" applyBorder="1" applyAlignment="1">
      <alignment horizontal="center" vertical="center"/>
    </xf>
    <xf numFmtId="0" fontId="19" fillId="11" borderId="1" xfId="0" applyFont="1" applyFill="1" applyBorder="1" applyAlignment="1">
      <alignment vertical="center"/>
    </xf>
    <xf numFmtId="0" fontId="15" fillId="11" borderId="1" xfId="0" applyFont="1" applyFill="1" applyBorder="1" applyAlignment="1">
      <alignment horizontal="left" vertical="center"/>
    </xf>
    <xf numFmtId="0" fontId="18" fillId="12" borderId="1" xfId="0" applyFont="1" applyFill="1" applyBorder="1" applyAlignment="1" applyProtection="1">
      <alignment horizontal="center" vertical="center"/>
      <protection locked="0" hidden="1"/>
    </xf>
    <xf numFmtId="1" fontId="20" fillId="12" borderId="1" xfId="2" applyNumberFormat="1" applyFont="1" applyFill="1" applyBorder="1" applyAlignment="1" applyProtection="1">
      <alignment horizontal="center"/>
      <protection locked="0" hidden="1"/>
    </xf>
    <xf numFmtId="0" fontId="19" fillId="10" borderId="1" xfId="0" applyFont="1" applyFill="1" applyBorder="1" applyAlignment="1">
      <alignment horizontal="center" vertical="center"/>
    </xf>
    <xf numFmtId="0" fontId="19" fillId="10" borderId="1" xfId="0" applyFont="1" applyFill="1" applyBorder="1" applyAlignment="1">
      <alignment vertical="center"/>
    </xf>
    <xf numFmtId="0" fontId="16" fillId="10" borderId="1" xfId="3" applyFont="1" applyFill="1" applyBorder="1" applyAlignment="1">
      <alignment horizontal="left" vertical="center"/>
    </xf>
    <xf numFmtId="0" fontId="17" fillId="11" borderId="1" xfId="0" applyFont="1" applyFill="1" applyBorder="1" applyAlignment="1">
      <alignment vertical="center"/>
    </xf>
    <xf numFmtId="0" fontId="16" fillId="11" borderId="1" xfId="3" applyFont="1" applyFill="1" applyBorder="1" applyAlignment="1">
      <alignment horizontal="left" vertical="center"/>
    </xf>
    <xf numFmtId="17" fontId="9" fillId="3" borderId="1" xfId="4" applyNumberFormat="1" applyFont="1" applyFill="1" applyBorder="1" applyAlignment="1" applyProtection="1">
      <alignment horizontal="left"/>
      <protection locked="0" hidden="1"/>
    </xf>
    <xf numFmtId="0" fontId="21" fillId="13" borderId="18" xfId="0" applyFont="1" applyFill="1" applyBorder="1" applyAlignment="1">
      <alignment vertical="center"/>
    </xf>
    <xf numFmtId="0" fontId="21" fillId="13" borderId="19" xfId="0" applyFont="1" applyFill="1" applyBorder="1" applyAlignment="1">
      <alignment vertical="center"/>
    </xf>
    <xf numFmtId="165" fontId="0" fillId="0" borderId="1" xfId="0" applyNumberFormat="1" applyFont="1" applyFill="1" applyBorder="1"/>
    <xf numFmtId="0" fontId="4" fillId="0" borderId="6" xfId="2" applyNumberFormat="1" applyFont="1" applyFill="1" applyBorder="1" applyAlignment="1">
      <alignment horizontal="left" vertical="top"/>
    </xf>
    <xf numFmtId="0" fontId="0" fillId="14" borderId="1" xfId="0" applyFill="1" applyBorder="1"/>
    <xf numFmtId="0" fontId="0" fillId="15" borderId="1" xfId="0" applyFill="1" applyBorder="1"/>
    <xf numFmtId="0" fontId="5" fillId="2" borderId="4"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2" xfId="0" applyFont="1" applyFill="1" applyBorder="1" applyAlignment="1">
      <alignment vertical="center"/>
    </xf>
    <xf numFmtId="0" fontId="5" fillId="2" borderId="4" xfId="0" applyFont="1" applyFill="1" applyBorder="1" applyAlignment="1">
      <alignment horizontal="center" vertical="center" wrapText="1"/>
    </xf>
    <xf numFmtId="0" fontId="5" fillId="2" borderId="1" xfId="0" applyFont="1" applyFill="1" applyBorder="1" applyAlignment="1">
      <alignment horizontal="center" vertical="center"/>
    </xf>
    <xf numFmtId="0" fontId="0" fillId="2" borderId="35" xfId="0" applyFill="1" applyBorder="1" applyAlignment="1">
      <alignment wrapText="1"/>
    </xf>
    <xf numFmtId="0" fontId="0" fillId="2" borderId="24" xfId="0" applyFill="1" applyBorder="1" applyAlignment="1">
      <alignment wrapText="1"/>
    </xf>
    <xf numFmtId="0" fontId="0" fillId="0" borderId="5" xfId="0" applyBorder="1" applyAlignment="1">
      <alignment horizontal="center" vertical="center"/>
    </xf>
    <xf numFmtId="0" fontId="5" fillId="2" borderId="22" xfId="0" applyFont="1" applyFill="1" applyBorder="1" applyAlignment="1">
      <alignment horizontal="center" vertical="center" wrapText="1"/>
    </xf>
    <xf numFmtId="0" fontId="5" fillId="2" borderId="40" xfId="0" applyFont="1" applyFill="1" applyBorder="1" applyAlignment="1">
      <alignment horizontal="center" vertical="center" wrapText="1"/>
    </xf>
    <xf numFmtId="0" fontId="0" fillId="0" borderId="21" xfId="0" applyBorder="1" applyAlignment="1">
      <alignment wrapText="1"/>
    </xf>
    <xf numFmtId="0" fontId="0" fillId="0" borderId="10" xfId="0" applyBorder="1" applyAlignment="1">
      <alignment wrapText="1"/>
    </xf>
    <xf numFmtId="0" fontId="0" fillId="0" borderId="21" xfId="0" applyBorder="1"/>
    <xf numFmtId="0" fontId="0" fillId="0" borderId="10" xfId="0" applyBorder="1"/>
    <xf numFmtId="0" fontId="0" fillId="0" borderId="21" xfId="0" applyFill="1" applyBorder="1" applyAlignment="1">
      <alignment wrapText="1"/>
    </xf>
    <xf numFmtId="0" fontId="0" fillId="0" borderId="10" xfId="0" applyFill="1" applyBorder="1" applyAlignment="1">
      <alignment wrapText="1"/>
    </xf>
    <xf numFmtId="0" fontId="0" fillId="0" borderId="18" xfId="0" applyBorder="1" applyAlignment="1">
      <alignment wrapText="1"/>
    </xf>
    <xf numFmtId="0" fontId="5" fillId="2" borderId="42" xfId="0" applyFont="1" applyFill="1" applyBorder="1" applyAlignment="1">
      <alignment horizontal="center" vertical="center" wrapText="1"/>
    </xf>
    <xf numFmtId="0" fontId="0" fillId="0" borderId="29" xfId="0" applyBorder="1"/>
    <xf numFmtId="0" fontId="0" fillId="0" borderId="29" xfId="0" applyFill="1" applyBorder="1"/>
    <xf numFmtId="0" fontId="0" fillId="0" borderId="31" xfId="0" applyBorder="1"/>
    <xf numFmtId="0" fontId="0" fillId="0" borderId="10" xfId="0" applyFill="1" applyBorder="1"/>
    <xf numFmtId="0" fontId="0" fillId="0" borderId="10" xfId="0" applyBorder="1" applyAlignment="1">
      <alignment horizontal="right" vertical="center"/>
    </xf>
    <xf numFmtId="0" fontId="0" fillId="0" borderId="11" xfId="0" applyBorder="1"/>
    <xf numFmtId="0" fontId="0" fillId="0" borderId="21" xfId="0" applyFill="1" applyBorder="1"/>
    <xf numFmtId="0" fontId="0" fillId="0" borderId="18" xfId="0" applyBorder="1"/>
    <xf numFmtId="0" fontId="0" fillId="0" borderId="21" xfId="0" applyBorder="1" applyAlignment="1">
      <alignment horizontal="right" vertical="center"/>
    </xf>
    <xf numFmtId="0" fontId="0" fillId="0" borderId="19" xfId="0" applyBorder="1"/>
    <xf numFmtId="0" fontId="5" fillId="2" borderId="47" xfId="0" applyFont="1" applyFill="1" applyBorder="1" applyAlignment="1">
      <alignment horizontal="center" vertical="center"/>
    </xf>
    <xf numFmtId="0" fontId="0" fillId="0" borderId="8" xfId="0" applyBorder="1"/>
    <xf numFmtId="0" fontId="0" fillId="0" borderId="8" xfId="0" applyBorder="1" applyAlignment="1">
      <alignment horizontal="left" vertical="center" wrapText="1"/>
    </xf>
    <xf numFmtId="0" fontId="0" fillId="0" borderId="8" xfId="0" applyFill="1" applyBorder="1"/>
    <xf numFmtId="0" fontId="5" fillId="5" borderId="43" xfId="0" applyFont="1" applyFill="1" applyBorder="1" applyAlignment="1">
      <alignment vertical="center" wrapText="1"/>
    </xf>
    <xf numFmtId="0" fontId="5" fillId="5" borderId="6" xfId="0" applyFont="1" applyFill="1" applyBorder="1" applyAlignment="1">
      <alignment vertical="center" wrapText="1"/>
    </xf>
    <xf numFmtId="0" fontId="5" fillId="2" borderId="16" xfId="0" applyFont="1" applyFill="1" applyBorder="1" applyAlignment="1">
      <alignment horizontal="center" vertical="center" wrapText="1"/>
    </xf>
    <xf numFmtId="0" fontId="5" fillId="2" borderId="47" xfId="0" applyFont="1" applyFill="1" applyBorder="1" applyAlignment="1">
      <alignment horizontal="center" vertical="center" wrapText="1"/>
    </xf>
    <xf numFmtId="0" fontId="5" fillId="5" borderId="36" xfId="0" applyFont="1" applyFill="1" applyBorder="1" applyAlignment="1">
      <alignment horizontal="center" vertical="center" wrapText="1"/>
    </xf>
    <xf numFmtId="0" fontId="5" fillId="5" borderId="35" xfId="0" applyFont="1" applyFill="1" applyBorder="1" applyAlignment="1">
      <alignment horizontal="center" vertical="center" wrapText="1"/>
    </xf>
    <xf numFmtId="0" fontId="5" fillId="5" borderId="38" xfId="0" applyFont="1" applyFill="1" applyBorder="1" applyAlignment="1">
      <alignment horizontal="center" vertical="center" wrapText="1"/>
    </xf>
    <xf numFmtId="0" fontId="5" fillId="5" borderId="24" xfId="0" applyFont="1" applyFill="1" applyBorder="1" applyAlignment="1">
      <alignment horizontal="center" vertical="center" wrapText="1"/>
    </xf>
    <xf numFmtId="0" fontId="0" fillId="0" borderId="1" xfId="0" applyBorder="1" applyAlignment="1">
      <alignment vertical="top"/>
    </xf>
    <xf numFmtId="0" fontId="0" fillId="0" borderId="1" xfId="0" applyBorder="1" applyAlignment="1">
      <alignment vertical="center"/>
    </xf>
    <xf numFmtId="0" fontId="0" fillId="0" borderId="21" xfId="0" applyBorder="1" applyAlignment="1">
      <alignment horizontal="right" vertical="center" wrapText="1"/>
    </xf>
    <xf numFmtId="0" fontId="0" fillId="7" borderId="5" xfId="0" applyFill="1" applyBorder="1" applyAlignment="1">
      <alignment horizontal="center" vertical="center"/>
    </xf>
    <xf numFmtId="0" fontId="10" fillId="0" borderId="21" xfId="0" applyFont="1" applyFill="1" applyBorder="1"/>
    <xf numFmtId="0" fontId="10" fillId="0" borderId="10" xfId="0" applyFont="1" applyFill="1" applyBorder="1"/>
    <xf numFmtId="0" fontId="0" fillId="0" borderId="4" xfId="0" applyBorder="1"/>
    <xf numFmtId="0" fontId="0" fillId="0" borderId="2" xfId="0" applyBorder="1"/>
    <xf numFmtId="165" fontId="0" fillId="7" borderId="1" xfId="0" applyNumberFormat="1" applyFill="1" applyBorder="1" applyAlignment="1">
      <alignment wrapText="1"/>
    </xf>
    <xf numFmtId="0" fontId="2" fillId="13" borderId="1" xfId="0" applyFont="1" applyFill="1" applyBorder="1" applyAlignment="1">
      <alignment vertical="center"/>
    </xf>
    <xf numFmtId="0" fontId="2" fillId="13" borderId="6" xfId="0" applyFont="1" applyFill="1" applyBorder="1" applyAlignment="1">
      <alignment vertical="center"/>
    </xf>
    <xf numFmtId="0" fontId="2" fillId="13" borderId="1" xfId="0" applyFont="1" applyFill="1" applyBorder="1" applyAlignment="1">
      <alignment horizontal="center" vertical="center"/>
    </xf>
    <xf numFmtId="1" fontId="9" fillId="16" borderId="1" xfId="4" applyNumberFormat="1" applyFont="1" applyFill="1" applyBorder="1" applyAlignment="1" applyProtection="1">
      <alignment horizontal="center"/>
      <protection locked="0" hidden="1"/>
    </xf>
    <xf numFmtId="167" fontId="9" fillId="16" borderId="1" xfId="4" applyNumberFormat="1" applyFont="1" applyFill="1" applyBorder="1" applyAlignment="1" applyProtection="1">
      <alignment horizontal="center"/>
      <protection locked="0" hidden="1"/>
    </xf>
    <xf numFmtId="1" fontId="9" fillId="16" borderId="1" xfId="4" applyNumberFormat="1" applyFont="1" applyFill="1" applyBorder="1" applyAlignment="1" applyProtection="1">
      <alignment horizontal="left" vertical="top"/>
      <protection locked="0" hidden="1"/>
    </xf>
    <xf numFmtId="0" fontId="4" fillId="0" borderId="1" xfId="2" applyNumberFormat="1" applyFont="1" applyFill="1" applyBorder="1" applyAlignment="1">
      <alignment horizontal="left" vertical="top"/>
    </xf>
    <xf numFmtId="0" fontId="5" fillId="2" borderId="3" xfId="0" applyFont="1" applyFill="1" applyBorder="1"/>
    <xf numFmtId="0" fontId="0" fillId="17" borderId="1" xfId="0" applyFill="1" applyBorder="1"/>
    <xf numFmtId="0" fontId="0" fillId="0" borderId="1" xfId="0" applyBorder="1" applyAlignment="1">
      <alignment horizontal="left" vertical="top"/>
    </xf>
    <xf numFmtId="0" fontId="0" fillId="0" borderId="1" xfId="0" applyFill="1" applyBorder="1" applyAlignment="1">
      <alignment horizontal="left" vertical="top"/>
    </xf>
    <xf numFmtId="0" fontId="23" fillId="3" borderId="9" xfId="0" applyFont="1" applyFill="1" applyBorder="1" applyAlignment="1" applyProtection="1">
      <alignment horizontal="center"/>
      <protection locked="0"/>
    </xf>
    <xf numFmtId="0" fontId="24" fillId="3" borderId="14" xfId="0" applyFont="1" applyFill="1" applyBorder="1"/>
    <xf numFmtId="166" fontId="24" fillId="3" borderId="15" xfId="2" applyNumberFormat="1" applyFont="1" applyFill="1" applyBorder="1" applyAlignment="1">
      <alignment horizontal="center" wrapText="1"/>
    </xf>
    <xf numFmtId="1" fontId="7" fillId="3" borderId="15" xfId="2" applyNumberFormat="1" applyFont="1" applyFill="1" applyBorder="1" applyAlignment="1">
      <alignment horizontal="center"/>
    </xf>
    <xf numFmtId="0" fontId="21" fillId="13" borderId="20" xfId="0" applyFont="1" applyFill="1" applyBorder="1" applyAlignment="1">
      <alignment vertical="center"/>
    </xf>
    <xf numFmtId="0" fontId="21" fillId="13" borderId="48" xfId="0" applyFont="1" applyFill="1" applyBorder="1" applyAlignment="1">
      <alignment vertical="center"/>
    </xf>
    <xf numFmtId="0" fontId="22" fillId="4" borderId="49" xfId="0" applyFont="1" applyFill="1" applyBorder="1"/>
    <xf numFmtId="0" fontId="22" fillId="4" borderId="50" xfId="0" applyFont="1" applyFill="1" applyBorder="1"/>
    <xf numFmtId="0" fontId="22" fillId="4" borderId="30" xfId="0" applyFont="1" applyFill="1" applyBorder="1"/>
    <xf numFmtId="0" fontId="21" fillId="18" borderId="28" xfId="0" applyFont="1" applyFill="1" applyBorder="1" applyAlignment="1">
      <alignment horizontal="left" vertical="center"/>
    </xf>
    <xf numFmtId="0" fontId="23" fillId="3" borderId="25" xfId="0" applyFont="1" applyFill="1" applyBorder="1" applyAlignment="1">
      <alignment vertical="center"/>
    </xf>
    <xf numFmtId="0" fontId="23" fillId="5" borderId="25" xfId="0" applyFont="1" applyFill="1" applyBorder="1" applyAlignment="1">
      <alignment vertical="center"/>
    </xf>
    <xf numFmtId="167" fontId="25" fillId="3" borderId="14" xfId="2" applyNumberFormat="1" applyFont="1" applyFill="1" applyBorder="1" applyAlignment="1">
      <alignment horizontal="center"/>
    </xf>
    <xf numFmtId="0" fontId="23" fillId="3" borderId="6" xfId="0" applyFont="1" applyFill="1" applyBorder="1" applyAlignment="1">
      <alignment vertical="center"/>
    </xf>
    <xf numFmtId="0" fontId="23" fillId="5" borderId="6" xfId="0" applyFont="1" applyFill="1" applyBorder="1" applyAlignment="1">
      <alignment vertical="center"/>
    </xf>
    <xf numFmtId="0" fontId="23" fillId="3" borderId="30" xfId="0" applyFont="1" applyFill="1" applyBorder="1" applyAlignment="1">
      <alignment vertical="center"/>
    </xf>
    <xf numFmtId="0" fontId="23" fillId="5" borderId="30" xfId="0" applyFont="1" applyFill="1" applyBorder="1" applyAlignment="1">
      <alignment vertical="center"/>
    </xf>
    <xf numFmtId="0" fontId="12" fillId="3" borderId="30" xfId="0" applyFont="1" applyFill="1" applyBorder="1" applyAlignment="1">
      <alignment vertical="center"/>
    </xf>
    <xf numFmtId="0" fontId="23" fillId="5" borderId="32" xfId="0" applyFont="1" applyFill="1" applyBorder="1" applyAlignment="1">
      <alignment vertical="center"/>
    </xf>
    <xf numFmtId="0" fontId="12" fillId="3" borderId="25" xfId="0" applyFont="1" applyFill="1" applyBorder="1" applyAlignment="1">
      <alignment vertical="center"/>
    </xf>
    <xf numFmtId="0" fontId="23" fillId="5" borderId="9" xfId="0" applyFont="1" applyFill="1" applyBorder="1" applyAlignment="1">
      <alignment vertical="center"/>
    </xf>
    <xf numFmtId="0" fontId="12" fillId="3" borderId="6" xfId="0" applyFont="1" applyFill="1" applyBorder="1" applyAlignment="1">
      <alignment vertical="center"/>
    </xf>
    <xf numFmtId="0" fontId="23" fillId="5" borderId="21" xfId="0" applyFont="1" applyFill="1" applyBorder="1" applyAlignment="1">
      <alignment vertical="center"/>
    </xf>
    <xf numFmtId="0" fontId="23" fillId="5" borderId="18" xfId="0" applyFont="1" applyFill="1" applyBorder="1" applyAlignment="1">
      <alignment vertical="center"/>
    </xf>
    <xf numFmtId="0" fontId="21" fillId="18" borderId="13" xfId="0" applyFont="1" applyFill="1" applyBorder="1" applyAlignment="1">
      <alignment horizontal="left" vertical="center"/>
    </xf>
    <xf numFmtId="0" fontId="23" fillId="3" borderId="34" xfId="0" applyFont="1" applyFill="1" applyBorder="1" applyAlignment="1">
      <alignment vertical="center"/>
    </xf>
    <xf numFmtId="0" fontId="23" fillId="5" borderId="33" xfId="0" applyFont="1" applyFill="1" applyBorder="1" applyAlignment="1">
      <alignment vertical="center"/>
    </xf>
    <xf numFmtId="0" fontId="12" fillId="3" borderId="34" xfId="0" applyFont="1" applyFill="1" applyBorder="1" applyAlignment="1">
      <alignment vertical="center"/>
    </xf>
    <xf numFmtId="0" fontId="12" fillId="5" borderId="34" xfId="0" applyFont="1" applyFill="1" applyBorder="1" applyAlignment="1">
      <alignment vertical="center"/>
    </xf>
    <xf numFmtId="0" fontId="10" fillId="19" borderId="1" xfId="0" applyFont="1" applyFill="1" applyBorder="1"/>
    <xf numFmtId="0" fontId="10" fillId="19" borderId="5" xfId="0" applyFont="1" applyFill="1" applyBorder="1"/>
    <xf numFmtId="165" fontId="5" fillId="5" borderId="1" xfId="0" applyNumberFormat="1" applyFont="1" applyFill="1" applyBorder="1" applyAlignment="1">
      <alignment horizontal="center" vertical="center"/>
    </xf>
    <xf numFmtId="0" fontId="5" fillId="5" borderId="1" xfId="0" applyFont="1" applyFill="1" applyBorder="1" applyAlignment="1">
      <alignment horizontal="center" vertic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22" fillId="4" borderId="4" xfId="0" applyFont="1" applyFill="1" applyBorder="1" applyAlignment="1">
      <alignment horizontal="center"/>
    </xf>
    <xf numFmtId="0" fontId="5" fillId="2" borderId="1" xfId="0" applyFont="1" applyFill="1" applyBorder="1" applyAlignment="1">
      <alignment horizontal="center" vertical="center"/>
    </xf>
    <xf numFmtId="0" fontId="5" fillId="5" borderId="44" xfId="0" applyFont="1" applyFill="1" applyBorder="1" applyAlignment="1">
      <alignment horizontal="center" wrapText="1"/>
    </xf>
    <xf numFmtId="0" fontId="5" fillId="5" borderId="23" xfId="0" applyFont="1" applyFill="1" applyBorder="1" applyAlignment="1">
      <alignment horizontal="center" wrapText="1"/>
    </xf>
    <xf numFmtId="0" fontId="5" fillId="5" borderId="45" xfId="0" applyFont="1" applyFill="1" applyBorder="1" applyAlignment="1">
      <alignment horizontal="center" wrapText="1"/>
    </xf>
    <xf numFmtId="0" fontId="5" fillId="5" borderId="36" xfId="0" applyFont="1" applyFill="1" applyBorder="1" applyAlignment="1">
      <alignment horizontal="center" vertical="center" wrapText="1"/>
    </xf>
    <xf numFmtId="0" fontId="5" fillId="5" borderId="37" xfId="0" applyFont="1" applyFill="1" applyBorder="1" applyAlignment="1">
      <alignment horizontal="center" vertical="center" wrapText="1"/>
    </xf>
    <xf numFmtId="0" fontId="5" fillId="5" borderId="38" xfId="0" applyFont="1" applyFill="1" applyBorder="1" applyAlignment="1">
      <alignment horizontal="center" vertical="center" wrapText="1"/>
    </xf>
    <xf numFmtId="0" fontId="5" fillId="5" borderId="39" xfId="0" applyFont="1" applyFill="1" applyBorder="1" applyAlignment="1">
      <alignment horizontal="center" vertical="center" wrapText="1"/>
    </xf>
    <xf numFmtId="0" fontId="5" fillId="5" borderId="27" xfId="0" applyFont="1" applyFill="1" applyBorder="1" applyAlignment="1">
      <alignment horizontal="center" vertical="center" wrapText="1"/>
    </xf>
    <xf numFmtId="0" fontId="5" fillId="5" borderId="41" xfId="0" applyFont="1" applyFill="1" applyBorder="1" applyAlignment="1">
      <alignment horizontal="center" vertical="center" wrapText="1"/>
    </xf>
    <xf numFmtId="0" fontId="5" fillId="5" borderId="5" xfId="0" applyFont="1" applyFill="1" applyBorder="1" applyAlignment="1">
      <alignment horizontal="center" vertical="center" wrapText="1"/>
    </xf>
    <xf numFmtId="0" fontId="5" fillId="5" borderId="6" xfId="0" applyFont="1" applyFill="1" applyBorder="1" applyAlignment="1">
      <alignment horizontal="center" vertical="center" wrapText="1"/>
    </xf>
    <xf numFmtId="0" fontId="5" fillId="5" borderId="46"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5" fillId="2" borderId="20" xfId="0" applyFont="1" applyFill="1" applyBorder="1" applyAlignment="1">
      <alignment horizontal="center" vertical="center"/>
    </xf>
    <xf numFmtId="0" fontId="5" fillId="2" borderId="38" xfId="0" applyFont="1" applyFill="1" applyBorder="1" applyAlignment="1">
      <alignment horizontal="center" vertical="center"/>
    </xf>
  </cellXfs>
  <cellStyles count="6">
    <cellStyle name="Normal" xfId="0" builtinId="0"/>
    <cellStyle name="Normal 2" xfId="2"/>
    <cellStyle name="Normal 2 2" xfId="4"/>
    <cellStyle name="Normal 4" xfId="5"/>
    <cellStyle name="Normal_OEE" xfId="3"/>
    <cellStyle name="Percent" xfId="1" builtinId="5"/>
  </cellStyles>
  <dxfs count="9">
    <dxf>
      <fill>
        <patternFill>
          <bgColor rgb="FFFF000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rgb="FFFF0000"/>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MX"/>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a:pPr>
            <a:r>
              <a:rPr lang="es-MX"/>
              <a:t>CAPACITY</a:t>
            </a:r>
            <a:r>
              <a:rPr lang="es-MX" baseline="0"/>
              <a:t> CHART - CNC</a:t>
            </a:r>
            <a:endParaRPr lang="es-MX"/>
          </a:p>
        </c:rich>
      </c:tx>
      <c:layout>
        <c:manualLayout>
          <c:xMode val="edge"/>
          <c:yMode val="edge"/>
          <c:x val="0.30824457593688365"/>
          <c:y val="3.9331366764995081E-2"/>
        </c:manualLayout>
      </c:layout>
      <c:overlay val="1"/>
    </c:title>
    <c:autoTitleDeleted val="0"/>
    <c:plotArea>
      <c:layout>
        <c:manualLayout>
          <c:layoutTarget val="inner"/>
          <c:xMode val="edge"/>
          <c:yMode val="edge"/>
          <c:x val="0.10029145765063391"/>
          <c:y val="0.18919378440526793"/>
          <c:w val="0.69047735896918205"/>
          <c:h val="0.58801353370651677"/>
        </c:manualLayout>
      </c:layout>
      <c:barChart>
        <c:barDir val="col"/>
        <c:grouping val="stacked"/>
        <c:varyColors val="0"/>
        <c:ser>
          <c:idx val="1"/>
          <c:order val="1"/>
          <c:tx>
            <c:strRef>
              <c:f>Calculos!$K$12</c:f>
              <c:strCache>
                <c:ptCount val="1"/>
                <c:pt idx="0">
                  <c:v>Stryker</c:v>
                </c:pt>
              </c:strCache>
            </c:strRef>
          </c:tx>
          <c:spPr>
            <a:solidFill>
              <a:schemeClr val="accent5"/>
            </a:solidFill>
          </c:spPr>
          <c:invertIfNegative val="0"/>
          <c:dLbls>
            <c:spPr>
              <a:noFill/>
              <a:ln>
                <a:noFill/>
              </a:ln>
              <a:effectLst/>
            </c:spPr>
            <c:txPr>
              <a:bodyPr wrap="square" lIns="38100" tIns="19050" rIns="38100" bIns="19050" anchor="ctr">
                <a:spAutoFit/>
              </a:bodyPr>
              <a:lstStyle/>
              <a:p>
                <a:pPr>
                  <a:defRPr b="1"/>
                </a:pPr>
                <a:endParaRPr lang="es-MX"/>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ext>
            </c:extLst>
          </c:dLbls>
          <c:cat>
            <c:strRef>
              <c:f>Calculos!$L$10:$S$10</c:f>
              <c:strCache>
                <c:ptCount val="8"/>
                <c:pt idx="0">
                  <c:v>Torno 1</c:v>
                </c:pt>
                <c:pt idx="1">
                  <c:v>Torno 2</c:v>
                </c:pt>
                <c:pt idx="2">
                  <c:v>Torno 3</c:v>
                </c:pt>
                <c:pt idx="3">
                  <c:v>Torno 4</c:v>
                </c:pt>
                <c:pt idx="4">
                  <c:v>Torno 5</c:v>
                </c:pt>
                <c:pt idx="5">
                  <c:v>Torno 6</c:v>
                </c:pt>
                <c:pt idx="6">
                  <c:v>Proveedor 1</c:v>
                </c:pt>
                <c:pt idx="7">
                  <c:v>Proveedor 2</c:v>
                </c:pt>
              </c:strCache>
            </c:strRef>
          </c:cat>
          <c:val>
            <c:numRef>
              <c:f>Calculos!$L$12:$S$12</c:f>
              <c:numCache>
                <c:formatCode>0%</c:formatCode>
                <c:ptCount val="8"/>
                <c:pt idx="0">
                  <c:v>0.81522192672693017</c:v>
                </c:pt>
                <c:pt idx="1">
                  <c:v>0.54086924482811161</c:v>
                </c:pt>
                <c:pt idx="2">
                  <c:v>0.40013056967899246</c:v>
                </c:pt>
                <c:pt idx="3">
                  <c:v>0.70468548605340831</c:v>
                </c:pt>
                <c:pt idx="4">
                  <c:v>0.53491016575638162</c:v>
                </c:pt>
                <c:pt idx="5">
                  <c:v>0.28843268742931261</c:v>
                </c:pt>
                <c:pt idx="6">
                  <c:v>0</c:v>
                </c:pt>
                <c:pt idx="7">
                  <c:v>0</c:v>
                </c:pt>
              </c:numCache>
            </c:numRef>
          </c:val>
          <c:extLst xmlns:c16r2="http://schemas.microsoft.com/office/drawing/2015/06/chart">
            <c:ext xmlns:c16="http://schemas.microsoft.com/office/drawing/2014/chart" uri="{C3380CC4-5D6E-409C-BE32-E72D297353CC}">
              <c16:uniqueId val="{00000000-4DDA-484B-B063-DA2E4D3F70B8}"/>
            </c:ext>
          </c:extLst>
        </c:ser>
        <c:ser>
          <c:idx val="2"/>
          <c:order val="2"/>
          <c:tx>
            <c:strRef>
              <c:f>Calculos!$K$13</c:f>
              <c:strCache>
                <c:ptCount val="1"/>
                <c:pt idx="0">
                  <c:v>Invacare</c:v>
                </c:pt>
              </c:strCache>
            </c:strRef>
          </c:tx>
          <c:spPr>
            <a:solidFill>
              <a:schemeClr val="accent1">
                <a:lumMod val="40000"/>
                <a:lumOff val="60000"/>
              </a:schemeClr>
            </a:solidFill>
          </c:spPr>
          <c:invertIfNegative val="0"/>
          <c:cat>
            <c:strRef>
              <c:f>Calculos!$L$10:$S$10</c:f>
              <c:strCache>
                <c:ptCount val="8"/>
                <c:pt idx="0">
                  <c:v>Torno 1</c:v>
                </c:pt>
                <c:pt idx="1">
                  <c:v>Torno 2</c:v>
                </c:pt>
                <c:pt idx="2">
                  <c:v>Torno 3</c:v>
                </c:pt>
                <c:pt idx="3">
                  <c:v>Torno 4</c:v>
                </c:pt>
                <c:pt idx="4">
                  <c:v>Torno 5</c:v>
                </c:pt>
                <c:pt idx="5">
                  <c:v>Torno 6</c:v>
                </c:pt>
                <c:pt idx="6">
                  <c:v>Proveedor 1</c:v>
                </c:pt>
                <c:pt idx="7">
                  <c:v>Proveedor 2</c:v>
                </c:pt>
              </c:strCache>
            </c:strRef>
          </c:cat>
          <c:val>
            <c:numRef>
              <c:f>Calculos!$L$13:$S$13</c:f>
              <c:numCache>
                <c:formatCode>0%</c:formatCode>
                <c:ptCount val="8"/>
                <c:pt idx="0">
                  <c:v>0</c:v>
                </c:pt>
                <c:pt idx="1">
                  <c:v>0</c:v>
                </c:pt>
                <c:pt idx="2">
                  <c:v>0</c:v>
                </c:pt>
                <c:pt idx="3">
                  <c:v>0</c:v>
                </c:pt>
                <c:pt idx="4">
                  <c:v>0</c:v>
                </c:pt>
                <c:pt idx="5">
                  <c:v>0</c:v>
                </c:pt>
                <c:pt idx="6">
                  <c:v>0</c:v>
                </c:pt>
                <c:pt idx="7">
                  <c:v>0</c:v>
                </c:pt>
              </c:numCache>
            </c:numRef>
          </c:val>
          <c:extLst xmlns:c16r2="http://schemas.microsoft.com/office/drawing/2015/06/chart">
            <c:ext xmlns:c16="http://schemas.microsoft.com/office/drawing/2014/chart" uri="{C3380CC4-5D6E-409C-BE32-E72D297353CC}">
              <c16:uniqueId val="{00000001-4DDA-484B-B063-DA2E4D3F70B8}"/>
            </c:ext>
          </c:extLst>
        </c:ser>
        <c:dLbls>
          <c:showLegendKey val="0"/>
          <c:showVal val="0"/>
          <c:showCatName val="0"/>
          <c:showSerName val="0"/>
          <c:showPercent val="0"/>
          <c:showBubbleSize val="0"/>
        </c:dLbls>
        <c:gapWidth val="150"/>
        <c:overlap val="100"/>
        <c:axId val="626350592"/>
        <c:axId val="168467200"/>
      </c:barChart>
      <c:lineChart>
        <c:grouping val="percentStacked"/>
        <c:varyColors val="0"/>
        <c:ser>
          <c:idx val="0"/>
          <c:order val="0"/>
          <c:tx>
            <c:strRef>
              <c:f>Calculos!$K$11</c:f>
              <c:strCache>
                <c:ptCount val="1"/>
                <c:pt idx="0">
                  <c:v>LIMITE</c:v>
                </c:pt>
              </c:strCache>
            </c:strRef>
          </c:tx>
          <c:marker>
            <c:symbol val="none"/>
          </c:marker>
          <c:cat>
            <c:strRef>
              <c:f>Calculos!$L$10:$S$10</c:f>
              <c:strCache>
                <c:ptCount val="8"/>
                <c:pt idx="0">
                  <c:v>Torno 1</c:v>
                </c:pt>
                <c:pt idx="1">
                  <c:v>Torno 2</c:v>
                </c:pt>
                <c:pt idx="2">
                  <c:v>Torno 3</c:v>
                </c:pt>
                <c:pt idx="3">
                  <c:v>Torno 4</c:v>
                </c:pt>
                <c:pt idx="4">
                  <c:v>Torno 5</c:v>
                </c:pt>
                <c:pt idx="5">
                  <c:v>Torno 6</c:v>
                </c:pt>
                <c:pt idx="6">
                  <c:v>Proveedor 1</c:v>
                </c:pt>
                <c:pt idx="7">
                  <c:v>Proveedor 2</c:v>
                </c:pt>
              </c:strCache>
            </c:strRef>
          </c:cat>
          <c:val>
            <c:numRef>
              <c:f>Calculos!$L$11:$S$11</c:f>
              <c:numCache>
                <c:formatCode>0%</c:formatCode>
                <c:ptCount val="8"/>
                <c:pt idx="0">
                  <c:v>1</c:v>
                </c:pt>
                <c:pt idx="1">
                  <c:v>1</c:v>
                </c:pt>
                <c:pt idx="2">
                  <c:v>1</c:v>
                </c:pt>
                <c:pt idx="3">
                  <c:v>1</c:v>
                </c:pt>
                <c:pt idx="4">
                  <c:v>1</c:v>
                </c:pt>
                <c:pt idx="5">
                  <c:v>1</c:v>
                </c:pt>
                <c:pt idx="6">
                  <c:v>1</c:v>
                </c:pt>
                <c:pt idx="7">
                  <c:v>2</c:v>
                </c:pt>
              </c:numCache>
            </c:numRef>
          </c:val>
          <c:smooth val="0"/>
          <c:extLst xmlns:c16r2="http://schemas.microsoft.com/office/drawing/2015/06/chart">
            <c:ext xmlns:c16="http://schemas.microsoft.com/office/drawing/2014/chart" uri="{C3380CC4-5D6E-409C-BE32-E72D297353CC}">
              <c16:uniqueId val="{00000002-4DDA-484B-B063-DA2E4D3F70B8}"/>
            </c:ext>
          </c:extLst>
        </c:ser>
        <c:dLbls>
          <c:showLegendKey val="0"/>
          <c:showVal val="0"/>
          <c:showCatName val="0"/>
          <c:showSerName val="0"/>
          <c:showPercent val="0"/>
          <c:showBubbleSize val="0"/>
        </c:dLbls>
        <c:marker val="1"/>
        <c:smooth val="0"/>
        <c:axId val="626350592"/>
        <c:axId val="168467200"/>
      </c:lineChart>
      <c:catAx>
        <c:axId val="626350592"/>
        <c:scaling>
          <c:orientation val="minMax"/>
        </c:scaling>
        <c:delete val="0"/>
        <c:axPos val="b"/>
        <c:numFmt formatCode="General" sourceLinked="0"/>
        <c:majorTickMark val="out"/>
        <c:minorTickMark val="none"/>
        <c:tickLblPos val="nextTo"/>
        <c:crossAx val="168467200"/>
        <c:crosses val="autoZero"/>
        <c:auto val="1"/>
        <c:lblAlgn val="ctr"/>
        <c:lblOffset val="100"/>
        <c:noMultiLvlLbl val="0"/>
      </c:catAx>
      <c:valAx>
        <c:axId val="168467200"/>
        <c:scaling>
          <c:orientation val="minMax"/>
        </c:scaling>
        <c:delete val="0"/>
        <c:axPos val="l"/>
        <c:minorGridlines/>
        <c:numFmt formatCode="0%" sourceLinked="1"/>
        <c:majorTickMark val="out"/>
        <c:minorTickMark val="none"/>
        <c:tickLblPos val="nextTo"/>
        <c:crossAx val="62635059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190499</xdr:colOff>
      <xdr:row>0</xdr:row>
      <xdr:rowOff>38099</xdr:rowOff>
    </xdr:from>
    <xdr:to>
      <xdr:col>8</xdr:col>
      <xdr:colOff>447674</xdr:colOff>
      <xdr:row>17</xdr:row>
      <xdr:rowOff>19049</xdr:rowOff>
    </xdr:to>
    <xdr:graphicFrame macro="">
      <xdr:nvGraphicFramePr>
        <xdr:cNvPr id="4" name="Chart 3">
          <a:extLst>
            <a:ext uri="{FF2B5EF4-FFF2-40B4-BE49-F238E27FC236}">
              <a16:creationId xmlns=""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36</xdr:col>
      <xdr:colOff>434837</xdr:colOff>
      <xdr:row>10</xdr:row>
      <xdr:rowOff>62119</xdr:rowOff>
    </xdr:from>
    <xdr:to>
      <xdr:col>39</xdr:col>
      <xdr:colOff>973105</xdr:colOff>
      <xdr:row>17</xdr:row>
      <xdr:rowOff>62521</xdr:rowOff>
    </xdr:to>
    <xdr:sp macro="" textlink="">
      <xdr:nvSpPr>
        <xdr:cNvPr id="2" name="TextBox 1">
          <a:extLst>
            <a:ext uri="{FF2B5EF4-FFF2-40B4-BE49-F238E27FC236}">
              <a16:creationId xmlns="" xmlns:a16="http://schemas.microsoft.com/office/drawing/2014/main" id="{00000000-0008-0000-0600-000002000000}"/>
            </a:ext>
          </a:extLst>
        </xdr:cNvPr>
        <xdr:cNvSpPr txBox="1"/>
      </xdr:nvSpPr>
      <xdr:spPr>
        <a:xfrm>
          <a:off x="38907554" y="2567608"/>
          <a:ext cx="2836692" cy="1304913"/>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200" b="1">
              <a:solidFill>
                <a:schemeClr val="tx1"/>
              </a:solidFill>
            </a:rPr>
            <a:t>Los</a:t>
          </a:r>
          <a:r>
            <a:rPr lang="es-MX" sz="1200" b="1" baseline="0">
              <a:solidFill>
                <a:schemeClr val="tx1"/>
              </a:solidFill>
            </a:rPr>
            <a:t> datos promediados del Tiempo ciclo  y Tiempo de retrabajo señalados en amarillo fueron resultado de el promedio de los datos en blanco respectivamente con cada columna dado que son los numeros reales</a:t>
          </a:r>
          <a:endParaRPr lang="es-MX" sz="1200" b="1">
            <a:solidFill>
              <a:schemeClr val="tx1"/>
            </a:solidFill>
          </a:endParaRPr>
        </a:p>
      </xdr:txBody>
    </xdr:sp>
    <xdr:clientData/>
  </xdr:twoCellAnchor>
  <xdr:twoCellAnchor>
    <xdr:from>
      <xdr:col>36</xdr:col>
      <xdr:colOff>723807</xdr:colOff>
      <xdr:row>34</xdr:row>
      <xdr:rowOff>34793</xdr:rowOff>
    </xdr:from>
    <xdr:to>
      <xdr:col>40</xdr:col>
      <xdr:colOff>606137</xdr:colOff>
      <xdr:row>47</xdr:row>
      <xdr:rowOff>173182</xdr:rowOff>
    </xdr:to>
    <xdr:sp macro="" textlink="">
      <xdr:nvSpPr>
        <xdr:cNvPr id="3" name="TextBox 2">
          <a:extLst>
            <a:ext uri="{FF2B5EF4-FFF2-40B4-BE49-F238E27FC236}">
              <a16:creationId xmlns="" xmlns:a16="http://schemas.microsoft.com/office/drawing/2014/main" id="{00000000-0008-0000-0600-000003000000}"/>
            </a:ext>
          </a:extLst>
        </xdr:cNvPr>
        <xdr:cNvSpPr txBox="1"/>
      </xdr:nvSpPr>
      <xdr:spPr>
        <a:xfrm>
          <a:off x="39244391" y="6999176"/>
          <a:ext cx="3284116" cy="2550564"/>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200" b="1">
              <a:solidFill>
                <a:schemeClr val="tx1"/>
              </a:solidFill>
            </a:rPr>
            <a:t>TIEMPO CICLO </a:t>
          </a:r>
        </a:p>
        <a:p>
          <a:r>
            <a:rPr lang="es-MX" sz="1200" b="1">
              <a:solidFill>
                <a:schemeClr val="tx1"/>
              </a:solidFill>
            </a:rPr>
            <a:t>DATO GUIA: 134.8356 </a:t>
          </a:r>
          <a:r>
            <a:rPr lang="es-MX" sz="1200" b="1" baseline="0">
              <a:solidFill>
                <a:schemeClr val="tx1"/>
              </a:solidFill>
            </a:rPr>
            <a:t> Segundos</a:t>
          </a:r>
        </a:p>
        <a:p>
          <a:endParaRPr lang="es-MX" sz="1200" b="1" baseline="0">
            <a:solidFill>
              <a:schemeClr val="tx1"/>
            </a:solidFill>
          </a:endParaRPr>
        </a:p>
        <a:p>
          <a:r>
            <a:rPr lang="es-MX" sz="1200" b="1" baseline="0">
              <a:solidFill>
                <a:schemeClr val="tx1"/>
              </a:solidFill>
            </a:rPr>
            <a:t>El dato guia ubicada en las celdas de la columna  N, el cual nos da la pauta para los demas calculos resulto de multiplicar 0.0375  (El cual es el promedio de lo datros reales en la columna AH.) por 3600 seg (1 Hr), dando el resultado de 134.8356</a:t>
          </a:r>
        </a:p>
        <a:p>
          <a:endParaRPr lang="es-MX" sz="1200" b="1" baseline="0">
            <a:solidFill>
              <a:schemeClr val="tx1"/>
            </a:solidFill>
          </a:endParaRPr>
        </a:p>
        <a:p>
          <a:r>
            <a:rPr lang="es-MX" sz="1200" b="1" baseline="0">
              <a:solidFill>
                <a:schemeClr val="tx1"/>
              </a:solidFill>
            </a:rPr>
            <a:t>Es decir dato guia se obtuvo de manera inversa a los datos reales</a:t>
          </a:r>
        </a:p>
      </xdr:txBody>
    </xdr:sp>
    <xdr:clientData/>
  </xdr:twoCellAnchor>
  <xdr:twoCellAnchor>
    <xdr:from>
      <xdr:col>37</xdr:col>
      <xdr:colOff>19637</xdr:colOff>
      <xdr:row>49</xdr:row>
      <xdr:rowOff>40894</xdr:rowOff>
    </xdr:from>
    <xdr:to>
      <xdr:col>41</xdr:col>
      <xdr:colOff>23778</xdr:colOff>
      <xdr:row>62</xdr:row>
      <xdr:rowOff>37109</xdr:rowOff>
    </xdr:to>
    <xdr:sp macro="" textlink="">
      <xdr:nvSpPr>
        <xdr:cNvPr id="4" name="TextBox 3">
          <a:extLst>
            <a:ext uri="{FF2B5EF4-FFF2-40B4-BE49-F238E27FC236}">
              <a16:creationId xmlns="" xmlns:a16="http://schemas.microsoft.com/office/drawing/2014/main" id="{00000000-0008-0000-0600-000004000000}"/>
            </a:ext>
          </a:extLst>
        </xdr:cNvPr>
        <xdr:cNvSpPr txBox="1"/>
      </xdr:nvSpPr>
      <xdr:spPr>
        <a:xfrm>
          <a:off x="39307169" y="9788556"/>
          <a:ext cx="3405927" cy="2408391"/>
        </a:xfrm>
        <a:prstGeom prst="rect">
          <a:avLst/>
        </a:prstGeom>
        <a:solidFill>
          <a:schemeClr val="accent2">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200" b="1">
              <a:solidFill>
                <a:schemeClr val="tx1"/>
              </a:solidFill>
            </a:rPr>
            <a:t>RE-WORK</a:t>
          </a:r>
        </a:p>
        <a:p>
          <a:r>
            <a:rPr lang="es-MX" sz="1200" b="1">
              <a:solidFill>
                <a:schemeClr val="tx1"/>
              </a:solidFill>
            </a:rPr>
            <a:t>DATO GUIA: 205.410959 segundos</a:t>
          </a:r>
        </a:p>
        <a:p>
          <a:endParaRPr lang="es-MX" sz="1200" b="1" baseline="0">
            <a:solidFill>
              <a:schemeClr val="tx1"/>
            </a:solidFill>
          </a:endParaRPr>
        </a:p>
        <a:p>
          <a:r>
            <a:rPr lang="es-MX" sz="1200" b="1" baseline="0">
              <a:solidFill>
                <a:schemeClr val="tx1"/>
              </a:solidFill>
            </a:rPr>
            <a:t>El dato guia ubicada en las celdas de la columna  U, el cual nos da la pauta para los demas calculos resulto de multiplicar 0.0190 (El cual es el promedio de lo datros reales en la columna AJ.) por 3600 seg (1 Hr), dando el resultado de 68.47</a:t>
          </a:r>
        </a:p>
        <a:p>
          <a:r>
            <a:rPr lang="es-MX" sz="1200" b="1" baseline="0">
              <a:solidFill>
                <a:schemeClr val="tx1"/>
              </a:solidFill>
            </a:rPr>
            <a:t> multiplicandolo por 3</a:t>
          </a:r>
        </a:p>
        <a:p>
          <a:endParaRPr lang="es-MX" sz="1200" b="1" baseline="0">
            <a:solidFill>
              <a:schemeClr val="tx1"/>
            </a:solidFill>
          </a:endParaRPr>
        </a:p>
        <a:p>
          <a:r>
            <a:rPr lang="es-MX" sz="1200" b="1" baseline="0">
              <a:solidFill>
                <a:schemeClr val="tx1"/>
              </a:solidFill>
            </a:rPr>
            <a:t>Es decir el  dato guia se obtuvo de manera inversa a los datos reales</a:t>
          </a:r>
        </a:p>
      </xdr:txBody>
    </xdr:sp>
    <xdr:clientData/>
  </xdr:twoCellAnchor>
  <xdr:twoCellAnchor>
    <xdr:from>
      <xdr:col>37</xdr:col>
      <xdr:colOff>11186</xdr:colOff>
      <xdr:row>20</xdr:row>
      <xdr:rowOff>18434</xdr:rowOff>
    </xdr:from>
    <xdr:to>
      <xdr:col>40</xdr:col>
      <xdr:colOff>544286</xdr:colOff>
      <xdr:row>33</xdr:row>
      <xdr:rowOff>74221</xdr:rowOff>
    </xdr:to>
    <xdr:sp macro="" textlink="">
      <xdr:nvSpPr>
        <xdr:cNvPr id="5" name="TextBox 4">
          <a:extLst>
            <a:ext uri="{FF2B5EF4-FFF2-40B4-BE49-F238E27FC236}">
              <a16:creationId xmlns="" xmlns:a16="http://schemas.microsoft.com/office/drawing/2014/main" id="{00000000-0008-0000-0600-000005000000}"/>
            </a:ext>
          </a:extLst>
        </xdr:cNvPr>
        <xdr:cNvSpPr txBox="1"/>
      </xdr:nvSpPr>
      <xdr:spPr>
        <a:xfrm>
          <a:off x="39298718" y="4385090"/>
          <a:ext cx="3167938" cy="2467962"/>
        </a:xfrm>
        <a:prstGeom prst="rect">
          <a:avLst/>
        </a:prstGeom>
        <a:solidFill>
          <a:schemeClr val="accent1">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200" b="1">
              <a:solidFill>
                <a:schemeClr val="tx1"/>
              </a:solidFill>
            </a:rPr>
            <a:t>SET</a:t>
          </a:r>
          <a:r>
            <a:rPr lang="es-MX" sz="1200" b="1" baseline="0">
              <a:solidFill>
                <a:schemeClr val="tx1"/>
              </a:solidFill>
            </a:rPr>
            <a:t> UP</a:t>
          </a:r>
        </a:p>
        <a:p>
          <a:r>
            <a:rPr lang="es-MX" sz="1200" b="1">
              <a:solidFill>
                <a:schemeClr val="tx1"/>
              </a:solidFill>
            </a:rPr>
            <a:t>DATO GUIA: 4575.845</a:t>
          </a:r>
        </a:p>
        <a:p>
          <a:endParaRPr lang="es-MX" sz="1200" b="1" baseline="0">
            <a:solidFill>
              <a:schemeClr val="tx1"/>
            </a:solidFill>
          </a:endParaRPr>
        </a:p>
        <a:p>
          <a:r>
            <a:rPr lang="es-MX" sz="1200" b="1" baseline="0">
              <a:solidFill>
                <a:schemeClr val="tx1"/>
              </a:solidFill>
            </a:rPr>
            <a:t>El dato guia ubicada en las celdas de la columna J, el cual nos da la pauta para los demas calculos resulto de multiplicar 1.2711 (El cual es el promedio de lo datros reales en la columna AF.) por 3600 seg (1 Hr), dando el resultado de 4575.84</a:t>
          </a:r>
        </a:p>
        <a:p>
          <a:endParaRPr lang="es-MX" sz="1200" b="1" baseline="0">
            <a:solidFill>
              <a:schemeClr val="tx1"/>
            </a:solidFill>
          </a:endParaRPr>
        </a:p>
        <a:p>
          <a:r>
            <a:rPr lang="es-MX" sz="1200" b="1" baseline="0">
              <a:solidFill>
                <a:schemeClr val="tx1"/>
              </a:solidFill>
            </a:rPr>
            <a:t>Es decir el  dato guia se obtuvo de manera inversa a los datos reales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K3:N10"/>
  <sheetViews>
    <sheetView topLeftCell="B1" workbookViewId="0">
      <selection activeCell="J21" sqref="J21"/>
    </sheetView>
  </sheetViews>
  <sheetFormatPr defaultColWidth="11.42578125" defaultRowHeight="15" x14ac:dyDescent="0.25"/>
  <cols>
    <col min="11" max="11" width="15.7109375" bestFit="1" customWidth="1"/>
    <col min="14" max="14" width="11.85546875" bestFit="1" customWidth="1"/>
  </cols>
  <sheetData>
    <row r="3" spans="11:14" ht="15.75" x14ac:dyDescent="0.25">
      <c r="K3" s="159" t="s">
        <v>21</v>
      </c>
      <c r="L3" s="160"/>
    </row>
    <row r="4" spans="11:14" x14ac:dyDescent="0.25">
      <c r="K4" s="16" t="s">
        <v>25</v>
      </c>
      <c r="L4" s="59">
        <v>44013</v>
      </c>
    </row>
    <row r="6" spans="11:14" x14ac:dyDescent="0.25">
      <c r="K6" s="115" t="s">
        <v>274</v>
      </c>
      <c r="L6" s="116" t="s">
        <v>29</v>
      </c>
      <c r="M6" s="117" t="s">
        <v>30</v>
      </c>
      <c r="N6" s="117" t="s">
        <v>31</v>
      </c>
    </row>
    <row r="7" spans="11:14" x14ac:dyDescent="0.25">
      <c r="K7" s="120" t="s">
        <v>283</v>
      </c>
      <c r="L7" s="118">
        <v>3</v>
      </c>
      <c r="M7" s="119">
        <v>5</v>
      </c>
      <c r="N7" s="119">
        <f>IFERROR(VLOOKUP(L7,Driver!$AQ$4:$AR$7,2,0),"-")</f>
        <v>21.5</v>
      </c>
    </row>
    <row r="8" spans="11:14" x14ac:dyDescent="0.25">
      <c r="K8" s="120" t="s">
        <v>284</v>
      </c>
      <c r="L8" s="118"/>
      <c r="M8" s="119"/>
      <c r="N8" s="119" t="str">
        <f>IFERROR(VLOOKUP(L8,Driver!$AQ$4:$AR$7,2,0),"-")</f>
        <v>-</v>
      </c>
    </row>
    <row r="9" spans="11:14" x14ac:dyDescent="0.25">
      <c r="K9" s="120" t="s">
        <v>272</v>
      </c>
      <c r="L9" s="118"/>
      <c r="M9" s="119"/>
      <c r="N9" s="119" t="str">
        <f>IFERROR(VLOOKUP(L9,Driver!$AQ$4:$AR$7,2,0),"-")</f>
        <v>-</v>
      </c>
    </row>
    <row r="10" spans="11:14" x14ac:dyDescent="0.25">
      <c r="K10" s="120" t="s">
        <v>273</v>
      </c>
      <c r="L10" s="118"/>
      <c r="M10" s="119"/>
      <c r="N10" s="119" t="str">
        <f>IFERROR(VLOOKUP(L10,Driver!$AQ$4:$AR$7,2,0),"-")</f>
        <v>-</v>
      </c>
    </row>
  </sheetData>
  <mergeCells count="1">
    <mergeCell ref="K3:L3"/>
  </mergeCells>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'Demanda Anual'!$D$1:$R$1</xm:f>
          </x14:formula1>
          <xm:sqref>L4</xm:sqref>
        </x14:dataValidation>
        <x14:dataValidation type="list" allowBlank="1" showInputMessage="1" showErrorMessage="1">
          <x14:formula1>
            <xm:f>Driver!$AQ$5:$AQ$7</xm:f>
          </x14:formula1>
          <xm:sqref>L7:L10</xm:sqref>
        </x14:dataValidation>
        <x14:dataValidation type="list" allowBlank="1" showInputMessage="1" showErrorMessage="1">
          <x14:formula1>
            <xm:f>Driver!$AQ$10:$AQ$16</xm:f>
          </x14:formula1>
          <xm:sqref>M7:M10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23"/>
  <sheetViews>
    <sheetView zoomScale="80" zoomScaleNormal="80" workbookViewId="0">
      <selection activeCell="G26" sqref="G26"/>
    </sheetView>
  </sheetViews>
  <sheetFormatPr defaultColWidth="11.42578125" defaultRowHeight="15" x14ac:dyDescent="0.25"/>
  <cols>
    <col min="3" max="3" width="17" bestFit="1" customWidth="1"/>
    <col min="4" max="4" width="15.140625" bestFit="1" customWidth="1"/>
    <col min="8" max="8" width="15.5703125" bestFit="1" customWidth="1"/>
    <col min="9" max="9" width="10.42578125" customWidth="1"/>
  </cols>
  <sheetData>
    <row r="1" spans="1:18" x14ac:dyDescent="0.25">
      <c r="A1" s="42"/>
      <c r="B1" s="42"/>
      <c r="C1" s="43" t="s">
        <v>250</v>
      </c>
      <c r="D1" s="41">
        <v>43831</v>
      </c>
      <c r="E1" s="41">
        <v>43862</v>
      </c>
      <c r="F1" s="41">
        <v>43891</v>
      </c>
      <c r="G1" s="41">
        <v>43922</v>
      </c>
      <c r="H1" s="41">
        <v>43952</v>
      </c>
      <c r="I1" s="41">
        <v>43983</v>
      </c>
      <c r="J1" s="41">
        <v>44013</v>
      </c>
      <c r="K1" s="41">
        <v>44044</v>
      </c>
      <c r="L1" s="41">
        <v>44075</v>
      </c>
      <c r="M1" s="41">
        <v>44105</v>
      </c>
      <c r="N1" s="41">
        <v>44136</v>
      </c>
      <c r="O1" s="41">
        <v>44166</v>
      </c>
      <c r="P1" s="41">
        <v>44197</v>
      </c>
      <c r="Q1" s="41">
        <v>44228</v>
      </c>
      <c r="R1" s="41">
        <v>44256</v>
      </c>
    </row>
    <row r="2" spans="1:18" x14ac:dyDescent="0.25">
      <c r="A2" s="43" t="s">
        <v>275</v>
      </c>
      <c r="B2" s="43" t="s">
        <v>13</v>
      </c>
      <c r="C2" s="43" t="s">
        <v>18</v>
      </c>
      <c r="D2" s="44">
        <v>4</v>
      </c>
      <c r="E2" s="44">
        <v>4</v>
      </c>
      <c r="F2" s="44">
        <v>4</v>
      </c>
      <c r="G2" s="44">
        <v>4</v>
      </c>
      <c r="H2" s="44">
        <v>4</v>
      </c>
      <c r="I2" s="44">
        <v>4</v>
      </c>
      <c r="J2" s="44">
        <v>5</v>
      </c>
      <c r="K2" s="44">
        <v>4</v>
      </c>
      <c r="L2" s="44">
        <v>4</v>
      </c>
      <c r="M2" s="44">
        <v>5</v>
      </c>
      <c r="N2" s="44">
        <v>4</v>
      </c>
      <c r="O2" s="44">
        <v>5</v>
      </c>
      <c r="P2" s="44"/>
      <c r="Q2" s="44"/>
      <c r="R2" s="44"/>
    </row>
    <row r="3" spans="1:18" x14ac:dyDescent="0.25">
      <c r="A3" s="43"/>
      <c r="B3" s="43"/>
      <c r="C3" s="43" t="s">
        <v>19</v>
      </c>
      <c r="D3" s="44">
        <v>22</v>
      </c>
      <c r="E3" s="44">
        <v>19</v>
      </c>
      <c r="F3" s="44">
        <v>21</v>
      </c>
      <c r="G3" s="44">
        <v>20</v>
      </c>
      <c r="H3" s="44">
        <v>20</v>
      </c>
      <c r="I3" s="44">
        <v>22</v>
      </c>
      <c r="J3" s="44">
        <v>23</v>
      </c>
      <c r="K3" s="44">
        <v>20</v>
      </c>
      <c r="L3" s="44">
        <v>18</v>
      </c>
      <c r="M3" s="44">
        <v>25</v>
      </c>
      <c r="N3" s="44">
        <v>18</v>
      </c>
      <c r="O3" s="44">
        <v>23</v>
      </c>
      <c r="P3" s="44">
        <v>21</v>
      </c>
      <c r="Q3" s="44">
        <v>19</v>
      </c>
      <c r="R3" s="44">
        <v>20</v>
      </c>
    </row>
    <row r="4" spans="1:18" x14ac:dyDescent="0.25">
      <c r="A4" s="45" t="s">
        <v>284</v>
      </c>
      <c r="B4" s="46" t="s">
        <v>4</v>
      </c>
      <c r="C4" s="47" t="s">
        <v>287</v>
      </c>
      <c r="D4" s="48">
        <v>263</v>
      </c>
      <c r="E4" s="48">
        <v>242</v>
      </c>
      <c r="F4" s="48">
        <v>419</v>
      </c>
      <c r="G4" s="48">
        <v>153</v>
      </c>
      <c r="H4" s="48">
        <v>0</v>
      </c>
      <c r="I4" s="48">
        <v>0</v>
      </c>
      <c r="J4" s="48">
        <v>125</v>
      </c>
      <c r="K4" s="48">
        <v>100</v>
      </c>
      <c r="L4" s="48">
        <v>75</v>
      </c>
      <c r="M4" s="48">
        <v>190</v>
      </c>
      <c r="N4" s="48">
        <v>150</v>
      </c>
      <c r="O4" s="48">
        <v>200</v>
      </c>
      <c r="P4" s="48">
        <v>120</v>
      </c>
      <c r="Q4" s="48">
        <v>120</v>
      </c>
      <c r="R4" s="48">
        <v>120</v>
      </c>
    </row>
    <row r="5" spans="1:18" x14ac:dyDescent="0.25">
      <c r="A5" s="45" t="s">
        <v>284</v>
      </c>
      <c r="B5" s="46" t="s">
        <v>4</v>
      </c>
      <c r="C5" s="47" t="s">
        <v>288</v>
      </c>
      <c r="D5" s="48">
        <v>263</v>
      </c>
      <c r="E5" s="48">
        <v>242</v>
      </c>
      <c r="F5" s="48">
        <v>419</v>
      </c>
      <c r="G5" s="48">
        <v>153</v>
      </c>
      <c r="H5" s="48">
        <v>200</v>
      </c>
      <c r="I5" s="48">
        <v>0</v>
      </c>
      <c r="J5" s="48">
        <v>125</v>
      </c>
      <c r="K5" s="48">
        <v>100</v>
      </c>
      <c r="L5" s="48">
        <v>75</v>
      </c>
      <c r="M5" s="48">
        <v>190</v>
      </c>
      <c r="N5" s="48">
        <v>150</v>
      </c>
      <c r="O5" s="48">
        <v>200</v>
      </c>
      <c r="P5" s="48">
        <v>120</v>
      </c>
      <c r="Q5" s="48">
        <v>120</v>
      </c>
      <c r="R5" s="48">
        <v>120</v>
      </c>
    </row>
    <row r="6" spans="1:18" x14ac:dyDescent="0.25">
      <c r="A6" s="45" t="s">
        <v>284</v>
      </c>
      <c r="B6" s="46" t="s">
        <v>4</v>
      </c>
      <c r="C6" s="47" t="s">
        <v>289</v>
      </c>
      <c r="D6" s="48"/>
      <c r="E6" s="48"/>
      <c r="F6" s="48"/>
      <c r="G6" s="48"/>
      <c r="H6" s="48"/>
      <c r="I6" s="48"/>
      <c r="J6" s="48"/>
      <c r="K6" s="48"/>
      <c r="L6" s="48"/>
      <c r="M6" s="48"/>
      <c r="N6" s="48"/>
      <c r="O6" s="48"/>
      <c r="P6" s="48"/>
      <c r="Q6" s="48"/>
      <c r="R6" s="48"/>
    </row>
    <row r="7" spans="1:18" x14ac:dyDescent="0.25">
      <c r="A7" s="45" t="s">
        <v>284</v>
      </c>
      <c r="B7" s="46" t="s">
        <v>4</v>
      </c>
      <c r="C7" s="47" t="s">
        <v>290</v>
      </c>
      <c r="D7" s="48">
        <v>180</v>
      </c>
      <c r="E7" s="48">
        <v>830</v>
      </c>
      <c r="F7" s="48">
        <v>74</v>
      </c>
      <c r="G7" s="48">
        <v>60</v>
      </c>
      <c r="H7" s="48">
        <v>4</v>
      </c>
      <c r="I7" s="48">
        <v>0</v>
      </c>
      <c r="J7" s="48">
        <v>0</v>
      </c>
      <c r="K7" s="48">
        <v>0</v>
      </c>
      <c r="L7" s="48">
        <v>0</v>
      </c>
      <c r="M7" s="48">
        <v>0</v>
      </c>
      <c r="N7" s="48">
        <v>0</v>
      </c>
      <c r="O7" s="48">
        <v>0</v>
      </c>
      <c r="P7" s="48"/>
      <c r="Q7" s="48"/>
      <c r="R7" s="48"/>
    </row>
    <row r="8" spans="1:18" x14ac:dyDescent="0.25">
      <c r="A8" s="45" t="s">
        <v>284</v>
      </c>
      <c r="B8" s="46" t="s">
        <v>4</v>
      </c>
      <c r="C8" s="47" t="s">
        <v>291</v>
      </c>
      <c r="D8" s="48"/>
      <c r="E8" s="48"/>
      <c r="F8" s="48">
        <v>0</v>
      </c>
      <c r="G8" s="48">
        <v>0</v>
      </c>
      <c r="H8" s="48">
        <v>0</v>
      </c>
      <c r="I8" s="48">
        <v>0</v>
      </c>
      <c r="J8" s="48">
        <v>0</v>
      </c>
      <c r="K8" s="48">
        <v>0</v>
      </c>
      <c r="L8" s="48">
        <v>200</v>
      </c>
      <c r="M8" s="48">
        <v>925</v>
      </c>
      <c r="N8" s="48">
        <v>650</v>
      </c>
      <c r="O8" s="48">
        <v>785</v>
      </c>
      <c r="P8" s="48">
        <v>680</v>
      </c>
      <c r="Q8" s="48">
        <v>680</v>
      </c>
      <c r="R8" s="48">
        <v>680</v>
      </c>
    </row>
    <row r="9" spans="1:18" x14ac:dyDescent="0.25">
      <c r="A9" s="45" t="s">
        <v>284</v>
      </c>
      <c r="B9" s="46" t="s">
        <v>4</v>
      </c>
      <c r="C9" s="47" t="s">
        <v>292</v>
      </c>
      <c r="D9" s="48">
        <v>247</v>
      </c>
      <c r="E9" s="48">
        <v>225</v>
      </c>
      <c r="F9" s="48">
        <v>309</v>
      </c>
      <c r="G9" s="48">
        <v>375</v>
      </c>
      <c r="H9" s="48">
        <v>0</v>
      </c>
      <c r="I9" s="48">
        <v>83</v>
      </c>
      <c r="J9" s="48">
        <v>202</v>
      </c>
      <c r="K9" s="48">
        <v>220</v>
      </c>
      <c r="L9" s="48">
        <v>198</v>
      </c>
      <c r="M9" s="48">
        <v>450</v>
      </c>
      <c r="N9" s="48">
        <v>290</v>
      </c>
      <c r="O9" s="48">
        <v>390</v>
      </c>
      <c r="P9" s="48">
        <v>140</v>
      </c>
      <c r="Q9" s="48">
        <v>140</v>
      </c>
      <c r="R9" s="48">
        <v>140</v>
      </c>
    </row>
    <row r="10" spans="1:18" x14ac:dyDescent="0.25">
      <c r="A10" s="45" t="s">
        <v>284</v>
      </c>
      <c r="B10" s="46" t="s">
        <v>4</v>
      </c>
      <c r="C10" s="47" t="s">
        <v>293</v>
      </c>
      <c r="D10" s="48">
        <v>0</v>
      </c>
      <c r="E10" s="48">
        <v>0</v>
      </c>
      <c r="F10" s="48">
        <v>0</v>
      </c>
      <c r="G10" s="48">
        <v>0</v>
      </c>
      <c r="H10" s="48">
        <v>0</v>
      </c>
      <c r="I10" s="48">
        <v>0</v>
      </c>
      <c r="J10" s="48">
        <v>25</v>
      </c>
      <c r="K10" s="48">
        <v>105</v>
      </c>
      <c r="L10" s="48">
        <v>120</v>
      </c>
      <c r="M10" s="48">
        <v>450</v>
      </c>
      <c r="N10" s="48">
        <v>355</v>
      </c>
      <c r="O10" s="48">
        <v>405</v>
      </c>
      <c r="P10" s="48">
        <v>50</v>
      </c>
      <c r="Q10" s="48">
        <v>45</v>
      </c>
      <c r="R10" s="48">
        <v>45</v>
      </c>
    </row>
    <row r="11" spans="1:18" x14ac:dyDescent="0.25">
      <c r="A11" s="45" t="s">
        <v>284</v>
      </c>
      <c r="B11" s="46" t="s">
        <v>4</v>
      </c>
      <c r="C11" s="47" t="s">
        <v>294</v>
      </c>
      <c r="D11" s="48">
        <v>10</v>
      </c>
      <c r="E11" s="48">
        <v>13</v>
      </c>
      <c r="F11" s="48"/>
      <c r="G11" s="48">
        <v>5</v>
      </c>
      <c r="H11" s="48">
        <v>0</v>
      </c>
      <c r="I11" s="48">
        <v>0</v>
      </c>
      <c r="J11" s="48">
        <v>0</v>
      </c>
      <c r="K11" s="48">
        <v>0</v>
      </c>
      <c r="L11" s="48">
        <v>0</v>
      </c>
      <c r="M11" s="48">
        <v>0</v>
      </c>
      <c r="N11" s="48">
        <v>0</v>
      </c>
      <c r="O11" s="48">
        <v>0</v>
      </c>
      <c r="P11" s="48"/>
      <c r="Q11" s="48"/>
      <c r="R11" s="48"/>
    </row>
    <row r="12" spans="1:18" x14ac:dyDescent="0.25">
      <c r="A12" s="45" t="s">
        <v>284</v>
      </c>
      <c r="B12" s="46" t="s">
        <v>4</v>
      </c>
      <c r="C12" s="47" t="s">
        <v>295</v>
      </c>
      <c r="D12" s="48">
        <v>177</v>
      </c>
      <c r="E12" s="48">
        <v>65</v>
      </c>
      <c r="F12" s="48">
        <v>169</v>
      </c>
      <c r="G12" s="48">
        <v>6</v>
      </c>
      <c r="H12" s="48">
        <v>0</v>
      </c>
      <c r="I12" s="48">
        <v>0</v>
      </c>
      <c r="J12" s="48">
        <v>60</v>
      </c>
      <c r="K12" s="48">
        <v>95</v>
      </c>
      <c r="L12" s="48">
        <v>55</v>
      </c>
      <c r="M12" s="48">
        <v>75</v>
      </c>
      <c r="N12" s="48">
        <v>60</v>
      </c>
      <c r="O12" s="48">
        <v>60</v>
      </c>
      <c r="P12" s="48">
        <v>70</v>
      </c>
      <c r="Q12" s="48">
        <v>70</v>
      </c>
      <c r="R12" s="48">
        <v>70</v>
      </c>
    </row>
    <row r="13" spans="1:18" x14ac:dyDescent="0.25">
      <c r="A13" s="45" t="s">
        <v>284</v>
      </c>
      <c r="B13" s="46" t="s">
        <v>4</v>
      </c>
      <c r="C13" s="47" t="s">
        <v>296</v>
      </c>
      <c r="D13" s="48">
        <v>106</v>
      </c>
      <c r="E13" s="48">
        <v>90</v>
      </c>
      <c r="F13" s="48">
        <v>158</v>
      </c>
      <c r="G13" s="48">
        <v>20</v>
      </c>
      <c r="H13" s="48">
        <v>0</v>
      </c>
      <c r="I13" s="48">
        <v>0</v>
      </c>
      <c r="J13" s="48">
        <v>0</v>
      </c>
      <c r="K13" s="48">
        <v>0</v>
      </c>
      <c r="L13" s="48">
        <v>0</v>
      </c>
      <c r="M13" s="48">
        <v>0</v>
      </c>
      <c r="N13" s="48">
        <v>35</v>
      </c>
      <c r="O13" s="48">
        <v>50</v>
      </c>
      <c r="P13" s="48">
        <v>50</v>
      </c>
      <c r="Q13" s="48">
        <v>45</v>
      </c>
      <c r="R13" s="48">
        <v>45</v>
      </c>
    </row>
    <row r="14" spans="1:18" x14ac:dyDescent="0.25">
      <c r="A14" s="45" t="s">
        <v>284</v>
      </c>
      <c r="B14" s="46" t="s">
        <v>4</v>
      </c>
      <c r="C14" s="47" t="s">
        <v>297</v>
      </c>
      <c r="D14" s="48">
        <v>134</v>
      </c>
      <c r="E14" s="48">
        <v>85</v>
      </c>
      <c r="F14" s="48">
        <f>74+6</f>
        <v>80</v>
      </c>
      <c r="G14" s="48">
        <f>23+6</f>
        <v>29</v>
      </c>
      <c r="H14" s="48">
        <v>0</v>
      </c>
      <c r="I14" s="48">
        <v>0</v>
      </c>
      <c r="J14" s="48">
        <v>6</v>
      </c>
      <c r="K14" s="48">
        <v>0</v>
      </c>
      <c r="L14" s="48">
        <v>0</v>
      </c>
      <c r="M14" s="48">
        <v>0</v>
      </c>
      <c r="N14" s="48">
        <v>0</v>
      </c>
      <c r="O14" s="48">
        <v>0</v>
      </c>
      <c r="P14" s="48">
        <v>0</v>
      </c>
      <c r="Q14" s="48">
        <v>0</v>
      </c>
      <c r="R14" s="48">
        <v>0</v>
      </c>
    </row>
    <row r="15" spans="1:18" x14ac:dyDescent="0.25">
      <c r="A15" s="49" t="s">
        <v>283</v>
      </c>
      <c r="B15" s="50" t="s">
        <v>2</v>
      </c>
      <c r="C15" s="51" t="s">
        <v>298</v>
      </c>
      <c r="D15" s="52">
        <v>179</v>
      </c>
      <c r="E15" s="52">
        <v>155</v>
      </c>
      <c r="F15" s="52">
        <v>164</v>
      </c>
      <c r="G15" s="52">
        <v>400</v>
      </c>
      <c r="H15" s="52">
        <v>600</v>
      </c>
      <c r="I15" s="52">
        <v>800</v>
      </c>
      <c r="J15" s="52">
        <v>850</v>
      </c>
      <c r="K15" s="52">
        <v>800</v>
      </c>
      <c r="L15" s="52">
        <v>800</v>
      </c>
      <c r="M15" s="52">
        <v>500</v>
      </c>
      <c r="N15" s="52">
        <v>200</v>
      </c>
      <c r="O15" s="52">
        <v>200</v>
      </c>
      <c r="P15" s="52">
        <v>0</v>
      </c>
      <c r="Q15" s="52">
        <v>0</v>
      </c>
      <c r="R15" s="52">
        <v>0</v>
      </c>
    </row>
    <row r="16" spans="1:18" x14ac:dyDescent="0.25">
      <c r="A16" s="49" t="s">
        <v>283</v>
      </c>
      <c r="B16" s="50" t="s">
        <v>2</v>
      </c>
      <c r="C16" s="51" t="s">
        <v>299</v>
      </c>
      <c r="D16" s="52">
        <v>104</v>
      </c>
      <c r="E16" s="52">
        <v>90</v>
      </c>
      <c r="F16" s="52">
        <v>140</v>
      </c>
      <c r="G16" s="52">
        <v>56</v>
      </c>
      <c r="H16" s="52">
        <v>70</v>
      </c>
      <c r="I16" s="52">
        <v>120</v>
      </c>
      <c r="J16" s="52">
        <v>150</v>
      </c>
      <c r="K16" s="52">
        <v>120</v>
      </c>
      <c r="L16" s="52">
        <v>88</v>
      </c>
      <c r="M16" s="52">
        <v>44</v>
      </c>
      <c r="N16" s="52">
        <v>44</v>
      </c>
      <c r="O16" s="52">
        <v>44</v>
      </c>
      <c r="P16" s="52">
        <v>17</v>
      </c>
      <c r="Q16" s="52">
        <v>29</v>
      </c>
      <c r="R16" s="52">
        <v>33</v>
      </c>
    </row>
    <row r="17" spans="1:18" x14ac:dyDescent="0.25">
      <c r="A17" s="49" t="s">
        <v>283</v>
      </c>
      <c r="B17" s="50" t="s">
        <v>2</v>
      </c>
      <c r="C17" s="51" t="s">
        <v>300</v>
      </c>
      <c r="D17" s="52">
        <v>107</v>
      </c>
      <c r="E17" s="52">
        <v>92</v>
      </c>
      <c r="F17" s="52">
        <v>73</v>
      </c>
      <c r="G17" s="52">
        <v>58</v>
      </c>
      <c r="H17" s="52">
        <v>50</v>
      </c>
      <c r="I17" s="52">
        <v>50</v>
      </c>
      <c r="J17" s="52">
        <v>40</v>
      </c>
      <c r="K17" s="52">
        <v>40</v>
      </c>
      <c r="L17" s="52">
        <v>44</v>
      </c>
      <c r="M17" s="52">
        <v>44</v>
      </c>
      <c r="N17" s="52">
        <v>44</v>
      </c>
      <c r="O17" s="52">
        <v>44</v>
      </c>
      <c r="P17" s="52">
        <v>44</v>
      </c>
      <c r="Q17" s="52">
        <v>43</v>
      </c>
      <c r="R17" s="52">
        <v>44</v>
      </c>
    </row>
    <row r="18" spans="1:18" x14ac:dyDescent="0.25">
      <c r="A18" s="49" t="s">
        <v>283</v>
      </c>
      <c r="B18" s="50" t="s">
        <v>2</v>
      </c>
      <c r="C18" s="51" t="s">
        <v>301</v>
      </c>
      <c r="D18" s="53"/>
      <c r="E18" s="53"/>
      <c r="F18" s="53"/>
      <c r="G18" s="53"/>
      <c r="H18" s="53"/>
      <c r="I18" s="53"/>
      <c r="J18" s="53"/>
      <c r="K18" s="53"/>
      <c r="L18" s="53"/>
      <c r="M18" s="53"/>
      <c r="N18" s="53"/>
      <c r="O18" s="53"/>
      <c r="P18" s="53"/>
      <c r="Q18" s="53"/>
      <c r="R18" s="53"/>
    </row>
    <row r="19" spans="1:18" x14ac:dyDescent="0.25">
      <c r="A19" s="54" t="s">
        <v>283</v>
      </c>
      <c r="B19" s="55" t="s">
        <v>3</v>
      </c>
      <c r="C19" s="56" t="s">
        <v>302</v>
      </c>
      <c r="D19" s="48">
        <v>662</v>
      </c>
      <c r="E19" s="48">
        <v>569</v>
      </c>
      <c r="F19" s="48">
        <v>694</v>
      </c>
      <c r="G19" s="48">
        <v>1000</v>
      </c>
      <c r="H19" s="48">
        <v>1000</v>
      </c>
      <c r="I19" s="48">
        <v>800</v>
      </c>
      <c r="J19" s="48">
        <v>1000</v>
      </c>
      <c r="K19" s="48">
        <v>800</v>
      </c>
      <c r="L19" s="48">
        <v>720</v>
      </c>
      <c r="M19" s="48">
        <v>1125</v>
      </c>
      <c r="N19" s="48">
        <v>810</v>
      </c>
      <c r="O19" s="48">
        <v>810</v>
      </c>
      <c r="P19" s="48"/>
      <c r="Q19" s="48"/>
      <c r="R19" s="48"/>
    </row>
    <row r="20" spans="1:18" x14ac:dyDescent="0.25">
      <c r="A20" s="54" t="s">
        <v>283</v>
      </c>
      <c r="B20" s="55" t="s">
        <v>3</v>
      </c>
      <c r="C20" s="56" t="s">
        <v>303</v>
      </c>
      <c r="D20" s="48">
        <v>1118</v>
      </c>
      <c r="E20" s="48">
        <v>966</v>
      </c>
      <c r="F20" s="48">
        <v>1433</v>
      </c>
      <c r="G20" s="48">
        <v>1600</v>
      </c>
      <c r="H20" s="48">
        <v>1600</v>
      </c>
      <c r="I20" s="48">
        <v>1600</v>
      </c>
      <c r="J20" s="48">
        <v>1750</v>
      </c>
      <c r="K20" s="48">
        <v>1300</v>
      </c>
      <c r="L20" s="48">
        <v>1260</v>
      </c>
      <c r="M20" s="48">
        <v>1750</v>
      </c>
      <c r="N20" s="48">
        <v>1260</v>
      </c>
      <c r="O20" s="48">
        <v>1260</v>
      </c>
      <c r="P20" s="48"/>
      <c r="Q20" s="48"/>
      <c r="R20" s="48"/>
    </row>
    <row r="21" spans="1:18" x14ac:dyDescent="0.25">
      <c r="A21" s="54" t="s">
        <v>283</v>
      </c>
      <c r="B21" s="55" t="s">
        <v>3</v>
      </c>
      <c r="C21" s="56" t="s">
        <v>304</v>
      </c>
      <c r="D21" s="48">
        <v>329</v>
      </c>
      <c r="E21" s="48">
        <v>285</v>
      </c>
      <c r="F21" s="48">
        <v>316</v>
      </c>
      <c r="G21" s="48">
        <v>301</v>
      </c>
      <c r="H21" s="48">
        <v>901</v>
      </c>
      <c r="I21" s="48">
        <v>901</v>
      </c>
      <c r="J21" s="48">
        <v>301</v>
      </c>
      <c r="K21" s="48"/>
      <c r="L21" s="48"/>
      <c r="M21" s="48"/>
      <c r="N21" s="48"/>
      <c r="O21" s="48"/>
      <c r="P21" s="48"/>
      <c r="Q21" s="48"/>
      <c r="R21" s="48"/>
    </row>
    <row r="22" spans="1:18" x14ac:dyDescent="0.25">
      <c r="A22" s="49" t="s">
        <v>284</v>
      </c>
      <c r="B22" s="57" t="s">
        <v>251</v>
      </c>
      <c r="C22" s="58" t="s">
        <v>305</v>
      </c>
      <c r="D22" s="52"/>
      <c r="E22" s="52">
        <v>0</v>
      </c>
      <c r="F22" s="52">
        <v>31</v>
      </c>
      <c r="G22" s="52">
        <v>66</v>
      </c>
      <c r="H22" s="52">
        <v>67</v>
      </c>
      <c r="I22" s="52">
        <v>72</v>
      </c>
      <c r="J22" s="52">
        <v>99</v>
      </c>
      <c r="K22" s="52">
        <v>78</v>
      </c>
      <c r="L22" s="52">
        <v>65</v>
      </c>
      <c r="M22" s="52">
        <v>35</v>
      </c>
      <c r="N22" s="52">
        <v>25</v>
      </c>
      <c r="O22" s="52">
        <v>18</v>
      </c>
      <c r="P22" s="52">
        <v>34</v>
      </c>
      <c r="Q22" s="52">
        <v>25</v>
      </c>
      <c r="R22" s="52">
        <v>25</v>
      </c>
    </row>
    <row r="23" spans="1:18" x14ac:dyDescent="0.25">
      <c r="A23" s="54" t="s">
        <v>283</v>
      </c>
      <c r="B23" s="55" t="s">
        <v>252</v>
      </c>
      <c r="C23" s="56" t="s">
        <v>306</v>
      </c>
      <c r="D23" s="48">
        <v>48</v>
      </c>
      <c r="E23" s="48">
        <v>29</v>
      </c>
      <c r="F23" s="48">
        <v>28</v>
      </c>
      <c r="G23" s="48">
        <v>40</v>
      </c>
      <c r="H23" s="48">
        <v>40</v>
      </c>
      <c r="I23" s="48">
        <v>29</v>
      </c>
      <c r="J23" s="48">
        <v>27</v>
      </c>
      <c r="K23" s="48">
        <v>17</v>
      </c>
      <c r="L23" s="48">
        <v>22</v>
      </c>
      <c r="M23" s="48">
        <v>34</v>
      </c>
      <c r="N23" s="48">
        <v>32</v>
      </c>
      <c r="O23" s="48">
        <v>44</v>
      </c>
      <c r="P23" s="48">
        <v>28</v>
      </c>
      <c r="Q23" s="48">
        <v>29</v>
      </c>
      <c r="R23" s="48">
        <v>33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4"/>
  <sheetViews>
    <sheetView zoomScale="78" zoomScaleNormal="78" workbookViewId="0">
      <selection activeCell="F5" sqref="F5:F25"/>
    </sheetView>
  </sheetViews>
  <sheetFormatPr defaultColWidth="9.140625" defaultRowHeight="15" x14ac:dyDescent="0.25"/>
  <cols>
    <col min="1" max="1" width="13.140625" customWidth="1"/>
    <col min="2" max="2" width="28.85546875" bestFit="1" customWidth="1"/>
    <col min="3" max="3" width="10" bestFit="1" customWidth="1"/>
    <col min="5" max="5" width="15.140625" bestFit="1" customWidth="1"/>
    <col min="6" max="6" width="17.140625" bestFit="1" customWidth="1"/>
    <col min="7" max="7" width="14" bestFit="1" customWidth="1"/>
    <col min="8" max="8" width="14" customWidth="1"/>
    <col min="9" max="10" width="12.7109375" bestFit="1" customWidth="1"/>
  </cols>
  <sheetData>
    <row r="1" spans="1:10" ht="15.75" thickBot="1" x14ac:dyDescent="0.3">
      <c r="A1" s="161" t="s">
        <v>21</v>
      </c>
      <c r="B1" s="161"/>
      <c r="C1" s="161"/>
    </row>
    <row r="2" spans="1:10" ht="15.75" thickBot="1" x14ac:dyDescent="0.3">
      <c r="A2" s="126"/>
      <c r="B2" s="127" t="s">
        <v>25</v>
      </c>
      <c r="C2" s="128">
        <f>+'Capacidad '!L4</f>
        <v>44013</v>
      </c>
    </row>
    <row r="3" spans="1:10" ht="15.75" thickBot="1" x14ac:dyDescent="0.3">
      <c r="A3" s="60" t="s">
        <v>6</v>
      </c>
      <c r="B3" s="61" t="s">
        <v>18</v>
      </c>
      <c r="C3" s="129">
        <f>HLOOKUP($C$2,'Demanda Anual'!$A$1:$R$23,2,0)</f>
        <v>5</v>
      </c>
    </row>
    <row r="4" spans="1:10" ht="15.75" thickBot="1" x14ac:dyDescent="0.3">
      <c r="A4" s="130"/>
      <c r="B4" s="131" t="s">
        <v>19</v>
      </c>
      <c r="C4" s="129">
        <f>HLOOKUP($C$2,'Demanda Anual'!$A$1:$R$23,3,0)</f>
        <v>23</v>
      </c>
      <c r="E4" s="132" t="s">
        <v>22</v>
      </c>
      <c r="F4" s="133"/>
      <c r="G4" s="134" t="s">
        <v>283</v>
      </c>
      <c r="H4" s="134" t="s">
        <v>284</v>
      </c>
      <c r="I4" s="134" t="s">
        <v>272</v>
      </c>
      <c r="J4" s="134" t="s">
        <v>273</v>
      </c>
    </row>
    <row r="5" spans="1:10" ht="15.75" thickBot="1" x14ac:dyDescent="0.3">
      <c r="A5" s="135" t="s">
        <v>26</v>
      </c>
      <c r="B5" s="136" t="s">
        <v>287</v>
      </c>
      <c r="C5" s="129">
        <f>+DemandaMensual($C$2,B5,'Demanda Anual'!$A$1:$R$23)</f>
        <v>125</v>
      </c>
      <c r="E5" s="135" t="s">
        <v>26</v>
      </c>
      <c r="F5" s="137" t="s">
        <v>287</v>
      </c>
      <c r="G5" s="138">
        <f>+DemandaDiaria(F5,$G$4,$A$1:$C$24,'Capacidad '!$K$6:$N$10)</f>
        <v>5.4347826086956523</v>
      </c>
      <c r="H5" s="138">
        <f>+DemandaDiaria(F5,$H$4,$A$1:$C$24,'Capacidad '!$K$6:$N$10)</f>
        <v>5.4347826086956523</v>
      </c>
      <c r="I5" s="138">
        <f>+DemandaDiaria(F5,$I$4,$A$1:$C$24,'Capacidad '!$K$6:$N$10)</f>
        <v>5.4347826086956523</v>
      </c>
      <c r="J5" s="138">
        <f>+DemandaDiaria(F5,$J$4,$A$1:$C$24,'Capacidad '!$K$6:$N$10)</f>
        <v>5.4347826086956523</v>
      </c>
    </row>
    <row r="6" spans="1:10" ht="15.75" thickBot="1" x14ac:dyDescent="0.3">
      <c r="A6" s="135" t="s">
        <v>26</v>
      </c>
      <c r="B6" s="139" t="s">
        <v>288</v>
      </c>
      <c r="C6" s="129">
        <f>+DemandaMensual($C$2,B6,'Demanda Anual'!$A$1:$R$23)</f>
        <v>125</v>
      </c>
      <c r="E6" s="135" t="s">
        <v>26</v>
      </c>
      <c r="F6" s="140" t="s">
        <v>288</v>
      </c>
      <c r="G6" s="138">
        <f>+DemandaDiaria(F6,$G$4,$A$1:$C$24,'Capacidad '!$K$6:$N$10)</f>
        <v>5.4347826086956523</v>
      </c>
      <c r="H6" s="138">
        <f>+DemandaDiaria(F6,$H$4,$A$1:$C$24,'Capacidad '!$K$6:$N$10)</f>
        <v>5.4347826086956523</v>
      </c>
      <c r="I6" s="138">
        <f>+DemandaDiaria(F6,$I$4,$A$1:$C$24,'Capacidad '!$K$6:$N$10)</f>
        <v>5.4347826086956523</v>
      </c>
      <c r="J6" s="138">
        <f>+DemandaDiaria(F6,$J$4,$A$1:$C$24,'Capacidad '!$K$6:$N$10)</f>
        <v>5.4347826086956523</v>
      </c>
    </row>
    <row r="7" spans="1:10" ht="15.75" thickBot="1" x14ac:dyDescent="0.3">
      <c r="A7" s="135" t="s">
        <v>26</v>
      </c>
      <c r="B7" s="139" t="s">
        <v>289</v>
      </c>
      <c r="C7" s="129">
        <f>+DemandaMensual($C$2,B7,'Demanda Anual'!$A$1:$R$23)</f>
        <v>0</v>
      </c>
      <c r="E7" s="135" t="s">
        <v>26</v>
      </c>
      <c r="F7" s="140" t="s">
        <v>289</v>
      </c>
      <c r="G7" s="138">
        <f>+DemandaDiaria(F7,$G$4,$A$1:$C$24,'Capacidad '!$K$6:$N$10)</f>
        <v>0</v>
      </c>
      <c r="H7" s="138">
        <f>+DemandaDiaria(F7,$H$4,$A$1:$C$24,'Capacidad '!$K$6:$N$10)</f>
        <v>0</v>
      </c>
      <c r="I7" s="138">
        <f>+DemandaDiaria(F7,$I$4,$A$1:$C$24,'Capacidad '!$K$6:$N$10)</f>
        <v>0</v>
      </c>
      <c r="J7" s="138">
        <f>+DemandaDiaria(F7,$J$4,$A$1:$C$24,'Capacidad '!$K$6:$N$10)</f>
        <v>0</v>
      </c>
    </row>
    <row r="8" spans="1:10" ht="15.75" thickBot="1" x14ac:dyDescent="0.3">
      <c r="A8" s="135" t="s">
        <v>26</v>
      </c>
      <c r="B8" s="139" t="s">
        <v>290</v>
      </c>
      <c r="C8" s="129">
        <f>+DemandaMensual($C$2,B8,'Demanda Anual'!$A$1:$R$23)</f>
        <v>0</v>
      </c>
      <c r="E8" s="135" t="s">
        <v>26</v>
      </c>
      <c r="F8" s="140" t="s">
        <v>290</v>
      </c>
      <c r="G8" s="138">
        <f>+DemandaDiaria(F8,$G$4,$A$1:$C$24,'Capacidad '!$K$6:$N$10)</f>
        <v>0</v>
      </c>
      <c r="H8" s="138">
        <f>+DemandaDiaria(F8,$H$4,$A$1:$C$24,'Capacidad '!$K$6:$N$10)</f>
        <v>0</v>
      </c>
      <c r="I8" s="138">
        <f>+DemandaDiaria(F8,$I$4,$A$1:$C$24,'Capacidad '!$K$6:$N$10)</f>
        <v>0</v>
      </c>
      <c r="J8" s="138">
        <f>+DemandaDiaria(F8,$J$4,$A$1:$C$24,'Capacidad '!$K$6:$N$10)</f>
        <v>0</v>
      </c>
    </row>
    <row r="9" spans="1:10" ht="15.75" thickBot="1" x14ac:dyDescent="0.3">
      <c r="A9" s="135" t="s">
        <v>26</v>
      </c>
      <c r="B9" s="139" t="s">
        <v>291</v>
      </c>
      <c r="C9" s="129">
        <f>+DemandaMensual($C$2,B9,'Demanda Anual'!$A$1:$R$23)</f>
        <v>0</v>
      </c>
      <c r="E9" s="135" t="s">
        <v>26</v>
      </c>
      <c r="F9" s="140" t="s">
        <v>291</v>
      </c>
      <c r="G9" s="138">
        <f>+DemandaDiaria(F9,$G$4,$A$1:$C$24,'Capacidad '!$K$6:$N$10)</f>
        <v>0</v>
      </c>
      <c r="H9" s="138">
        <f>+DemandaDiaria(F9,$H$4,$A$1:$C$24,'Capacidad '!$K$6:$N$10)</f>
        <v>0</v>
      </c>
      <c r="I9" s="138">
        <f>+DemandaDiaria(F9,$I$4,$A$1:$C$24,'Capacidad '!$K$6:$N$10)</f>
        <v>0</v>
      </c>
      <c r="J9" s="138">
        <f>+DemandaDiaria(F9,$J$4,$A$1:$C$24,'Capacidad '!$K$6:$N$10)</f>
        <v>0</v>
      </c>
    </row>
    <row r="10" spans="1:10" ht="15.75" thickBot="1" x14ac:dyDescent="0.3">
      <c r="A10" s="135" t="s">
        <v>26</v>
      </c>
      <c r="B10" s="139" t="s">
        <v>292</v>
      </c>
      <c r="C10" s="129">
        <f>+DemandaMensual($C$2,B10,'Demanda Anual'!$A$1:$R$23)</f>
        <v>202</v>
      </c>
      <c r="E10" s="135" t="s">
        <v>26</v>
      </c>
      <c r="F10" s="140" t="s">
        <v>292</v>
      </c>
      <c r="G10" s="138">
        <f>+DemandaDiaria(F10,$G$4,$A$1:$C$24,'Capacidad '!$K$6:$N$10)</f>
        <v>8.7826086956521738</v>
      </c>
      <c r="H10" s="138">
        <f>+DemandaDiaria(F10,$H$4,$A$1:$C$24,'Capacidad '!$K$6:$N$10)</f>
        <v>8.7826086956521738</v>
      </c>
      <c r="I10" s="138">
        <f>+DemandaDiaria(F10,$I$4,$A$1:$C$24,'Capacidad '!$K$6:$N$10)</f>
        <v>8.7826086956521738</v>
      </c>
      <c r="J10" s="138">
        <f>+DemandaDiaria(F10,$J$4,$A$1:$C$24,'Capacidad '!$K$6:$N$10)</f>
        <v>8.7826086956521738</v>
      </c>
    </row>
    <row r="11" spans="1:10" ht="15.75" thickBot="1" x14ac:dyDescent="0.3">
      <c r="A11" s="135" t="s">
        <v>26</v>
      </c>
      <c r="B11" s="139" t="s">
        <v>293</v>
      </c>
      <c r="C11" s="129">
        <f>+DemandaMensual($C$2,B11,'Demanda Anual'!$A$1:$R$23)</f>
        <v>25</v>
      </c>
      <c r="E11" s="135" t="s">
        <v>26</v>
      </c>
      <c r="F11" s="140" t="s">
        <v>293</v>
      </c>
      <c r="G11" s="138">
        <f>+DemandaDiaria(F11,$G$4,$A$1:$C$24,'Capacidad '!$K$6:$N$10)</f>
        <v>1.0869565217391304</v>
      </c>
      <c r="H11" s="138">
        <f>+DemandaDiaria(F11,$H$4,$A$1:$C$24,'Capacidad '!$K$6:$N$10)</f>
        <v>1.0869565217391304</v>
      </c>
      <c r="I11" s="138">
        <f>+DemandaDiaria(F11,$I$4,$A$1:$C$24,'Capacidad '!$K$6:$N$10)</f>
        <v>1.0869565217391304</v>
      </c>
      <c r="J11" s="138">
        <f>+DemandaDiaria(F11,$J$4,$A$1:$C$24,'Capacidad '!$K$6:$N$10)</f>
        <v>1.0869565217391304</v>
      </c>
    </row>
    <row r="12" spans="1:10" ht="15.75" thickBot="1" x14ac:dyDescent="0.3">
      <c r="A12" s="135" t="s">
        <v>26</v>
      </c>
      <c r="B12" s="139" t="s">
        <v>294</v>
      </c>
      <c r="C12" s="129">
        <f>+DemandaMensual($C$2,B12,'Demanda Anual'!$A$1:$R$23)</f>
        <v>0</v>
      </c>
      <c r="E12" s="135" t="s">
        <v>26</v>
      </c>
      <c r="F12" s="140" t="s">
        <v>294</v>
      </c>
      <c r="G12" s="138">
        <f>+DemandaDiaria(F12,$G$4,$A$1:$C$24,'Capacidad '!$K$6:$N$10)</f>
        <v>0</v>
      </c>
      <c r="H12" s="138">
        <f>+DemandaDiaria(F12,$H$4,$A$1:$C$24,'Capacidad '!$K$6:$N$10)</f>
        <v>0</v>
      </c>
      <c r="I12" s="138">
        <f>+DemandaDiaria(F12,$I$4,$A$1:$C$24,'Capacidad '!$K$6:$N$10)</f>
        <v>0</v>
      </c>
      <c r="J12" s="138">
        <f>+DemandaDiaria(F12,$J$4,$A$1:$C$24,'Capacidad '!$K$6:$N$10)</f>
        <v>0</v>
      </c>
    </row>
    <row r="13" spans="1:10" ht="15.75" thickBot="1" x14ac:dyDescent="0.3">
      <c r="A13" s="135" t="s">
        <v>26</v>
      </c>
      <c r="B13" s="139" t="s">
        <v>295</v>
      </c>
      <c r="C13" s="129">
        <f>+DemandaMensual($C$2,B13,'Demanda Anual'!$A$1:$R$23)</f>
        <v>60</v>
      </c>
      <c r="E13" s="135" t="s">
        <v>26</v>
      </c>
      <c r="F13" s="140" t="s">
        <v>295</v>
      </c>
      <c r="G13" s="138">
        <f>+DemandaDiaria(F13,$G$4,$A$1:$C$24,'Capacidad '!$K$6:$N$10)</f>
        <v>2.6086956521739131</v>
      </c>
      <c r="H13" s="138">
        <f>+DemandaDiaria(F13,$H$4,$A$1:$C$24,'Capacidad '!$K$6:$N$10)</f>
        <v>2.6086956521739131</v>
      </c>
      <c r="I13" s="138">
        <f>+DemandaDiaria(F13,$I$4,$A$1:$C$24,'Capacidad '!$K$6:$N$10)</f>
        <v>2.6086956521739131</v>
      </c>
      <c r="J13" s="138">
        <f>+DemandaDiaria(F13,$J$4,$A$1:$C$24,'Capacidad '!$K$6:$N$10)</f>
        <v>2.6086956521739131</v>
      </c>
    </row>
    <row r="14" spans="1:10" ht="15.75" thickBot="1" x14ac:dyDescent="0.3">
      <c r="A14" s="135" t="s">
        <v>26</v>
      </c>
      <c r="B14" s="139" t="s">
        <v>296</v>
      </c>
      <c r="C14" s="129">
        <f>+DemandaMensual($C$2,B14,'Demanda Anual'!$A$1:$R$23)</f>
        <v>0</v>
      </c>
      <c r="E14" s="135" t="s">
        <v>26</v>
      </c>
      <c r="F14" s="140" t="s">
        <v>296</v>
      </c>
      <c r="G14" s="138">
        <f>+DemandaDiaria(F14,$G$4,$A$1:$C$24,'Capacidad '!$K$6:$N$10)</f>
        <v>0</v>
      </c>
      <c r="H14" s="138">
        <f>+DemandaDiaria(F14,$H$4,$A$1:$C$24,'Capacidad '!$K$6:$N$10)</f>
        <v>0</v>
      </c>
      <c r="I14" s="138">
        <f>+DemandaDiaria(F14,$I$4,$A$1:$C$24,'Capacidad '!$K$6:$N$10)</f>
        <v>0</v>
      </c>
      <c r="J14" s="138">
        <f>+DemandaDiaria(F14,$J$4,$A$1:$C$24,'Capacidad '!$K$6:$N$10)</f>
        <v>0</v>
      </c>
    </row>
    <row r="15" spans="1:10" ht="15.75" thickBot="1" x14ac:dyDescent="0.3">
      <c r="A15" s="135" t="s">
        <v>26</v>
      </c>
      <c r="B15" s="141" t="s">
        <v>297</v>
      </c>
      <c r="C15" s="129">
        <f>+DemandaMensual($C$2,B15,'Demanda Anual'!$A$1:$R$23)</f>
        <v>6</v>
      </c>
      <c r="E15" s="135" t="s">
        <v>26</v>
      </c>
      <c r="F15" s="142" t="s">
        <v>297</v>
      </c>
      <c r="G15" s="138">
        <f>+DemandaDiaria(F15,$G$4,$A$1:$C$24,'Capacidad '!$K$6:$N$10)</f>
        <v>0.2608695652173913</v>
      </c>
      <c r="H15" s="138">
        <f>+DemandaDiaria(F15,$H$4,$A$1:$C$24,'Capacidad '!$K$6:$N$10)</f>
        <v>0.2608695652173913</v>
      </c>
      <c r="I15" s="138">
        <f>+DemandaDiaria(F15,$I$4,$A$1:$C$24,'Capacidad '!$K$6:$N$10)</f>
        <v>0.2608695652173913</v>
      </c>
      <c r="J15" s="138">
        <f>+DemandaDiaria(F15,$J$4,$A$1:$C$24,'Capacidad '!$K$6:$N$10)</f>
        <v>0.2608695652173913</v>
      </c>
    </row>
    <row r="16" spans="1:10" ht="15.75" thickBot="1" x14ac:dyDescent="0.3">
      <c r="A16" s="135" t="s">
        <v>11</v>
      </c>
      <c r="B16" s="136" t="s">
        <v>298</v>
      </c>
      <c r="C16" s="129">
        <f>+DemandaMensual($C$2,B16,'Demanda Anual'!$A$1:$R$23)</f>
        <v>850</v>
      </c>
      <c r="E16" s="135" t="s">
        <v>11</v>
      </c>
      <c r="F16" s="137" t="s">
        <v>298</v>
      </c>
      <c r="G16" s="138">
        <f>+DemandaDiaria(F16,$G$4,$A$1:$C$24,'Capacidad '!$K$6:$N$10)</f>
        <v>36.956521739130437</v>
      </c>
      <c r="H16" s="138">
        <f>+DemandaDiaria(F16,$H$4,$A$1:$C$24,'Capacidad '!$K$6:$N$10)</f>
        <v>36.956521739130437</v>
      </c>
      <c r="I16" s="138">
        <f>+DemandaDiaria(F16,$I$4,$A$1:$C$24,'Capacidad '!$K$6:$N$10)</f>
        <v>36.956521739130437</v>
      </c>
      <c r="J16" s="138">
        <f>+DemandaDiaria(F16,$J$4,$A$1:$C$24,'Capacidad '!$K$6:$N$10)</f>
        <v>36.956521739130437</v>
      </c>
    </row>
    <row r="17" spans="1:10" ht="15.75" thickBot="1" x14ac:dyDescent="0.3">
      <c r="A17" s="135" t="s">
        <v>11</v>
      </c>
      <c r="B17" s="139" t="s">
        <v>299</v>
      </c>
      <c r="C17" s="129">
        <f>+DemandaMensual($C$2,B17,'Demanda Anual'!$A$1:$R$23)</f>
        <v>150</v>
      </c>
      <c r="E17" s="135" t="s">
        <v>11</v>
      </c>
      <c r="F17" s="140" t="s">
        <v>299</v>
      </c>
      <c r="G17" s="138">
        <f>+DemandaDiaria(F17,$G$4,$A$1:$C$24,'Capacidad '!$K$6:$N$10)</f>
        <v>6.5217391304347823</v>
      </c>
      <c r="H17" s="138">
        <f>+DemandaDiaria(F17,$H$4,$A$1:$C$24,'Capacidad '!$K$6:$N$10)</f>
        <v>6.5217391304347823</v>
      </c>
      <c r="I17" s="138">
        <f>+DemandaDiaria(F17,$I$4,$A$1:$C$24,'Capacidad '!$K$6:$N$10)</f>
        <v>6.5217391304347823</v>
      </c>
      <c r="J17" s="138">
        <f>+DemandaDiaria(F17,$J$4,$A$1:$C$24,'Capacidad '!$K$6:$N$10)</f>
        <v>6.5217391304347823</v>
      </c>
    </row>
    <row r="18" spans="1:10" ht="15.75" thickBot="1" x14ac:dyDescent="0.3">
      <c r="A18" s="135" t="s">
        <v>11</v>
      </c>
      <c r="B18" s="139" t="s">
        <v>300</v>
      </c>
      <c r="C18" s="129">
        <f>+DemandaMensual($C$2,B18,'Demanda Anual'!$A$1:$R$23)</f>
        <v>40</v>
      </c>
      <c r="E18" s="135" t="s">
        <v>11</v>
      </c>
      <c r="F18" s="140" t="s">
        <v>300</v>
      </c>
      <c r="G18" s="138">
        <f>+DemandaDiaria(F18,$G$4,$A$1:$C$24,'Capacidad '!$K$6:$N$10)</f>
        <v>1.7391304347826086</v>
      </c>
      <c r="H18" s="138">
        <f>+DemandaDiaria(F18,$H$4,$A$1:$C$24,'Capacidad '!$K$6:$N$10)</f>
        <v>1.7391304347826086</v>
      </c>
      <c r="I18" s="138">
        <f>+DemandaDiaria(F18,$I$4,$A$1:$C$24,'Capacidad '!$K$6:$N$10)</f>
        <v>1.7391304347826086</v>
      </c>
      <c r="J18" s="138">
        <f>+DemandaDiaria(F18,$J$4,$A$1:$C$24,'Capacidad '!$K$6:$N$10)</f>
        <v>1.7391304347826086</v>
      </c>
    </row>
    <row r="19" spans="1:10" ht="15.75" thickBot="1" x14ac:dyDescent="0.3">
      <c r="A19" s="135" t="s">
        <v>11</v>
      </c>
      <c r="B19" s="143" t="s">
        <v>301</v>
      </c>
      <c r="C19" s="129">
        <f>+DemandaMensual($C$2,B19,'Demanda Anual'!$A$1:$R$23)</f>
        <v>0</v>
      </c>
      <c r="E19" s="135" t="s">
        <v>11</v>
      </c>
      <c r="F19" s="144" t="s">
        <v>301</v>
      </c>
      <c r="G19" s="138">
        <f>+DemandaDiaria(F19,$G$4,$A$1:$C$24,'Capacidad '!$K$6:$N$10)</f>
        <v>0</v>
      </c>
      <c r="H19" s="138">
        <f>+DemandaDiaria(F19,$H$4,$A$1:$C$24,'Capacidad '!$K$6:$N$10)</f>
        <v>0</v>
      </c>
      <c r="I19" s="138">
        <f>+DemandaDiaria(F19,$I$4,$A$1:$C$24,'Capacidad '!$K$6:$N$10)</f>
        <v>0</v>
      </c>
      <c r="J19" s="138">
        <f>+DemandaDiaria(F19,$J$4,$A$1:$C$24,'Capacidad '!$K$6:$N$10)</f>
        <v>0</v>
      </c>
    </row>
    <row r="20" spans="1:10" ht="15.75" thickBot="1" x14ac:dyDescent="0.3">
      <c r="A20" s="135" t="s">
        <v>12</v>
      </c>
      <c r="B20" s="145" t="s">
        <v>302</v>
      </c>
      <c r="C20" s="129">
        <f>+DemandaMensual($C$2,B20,'Demanda Anual'!$A$1:$R$23)</f>
        <v>1000</v>
      </c>
      <c r="E20" s="135" t="s">
        <v>12</v>
      </c>
      <c r="F20" s="146" t="s">
        <v>302</v>
      </c>
      <c r="G20" s="138">
        <f>+DemandaDiaria(F20,$G$4,$A$1:$C$24,'Capacidad '!$K$6:$N$10)</f>
        <v>43.478260869565219</v>
      </c>
      <c r="H20" s="138">
        <f>+DemandaDiaria(F20,$H$4,$A$1:$C$24,'Capacidad '!$K$6:$N$10)</f>
        <v>43.478260869565219</v>
      </c>
      <c r="I20" s="138">
        <f>+DemandaDiaria(F20,$I$4,$A$1:$C$24,'Capacidad '!$K$6:$N$10)</f>
        <v>43.478260869565219</v>
      </c>
      <c r="J20" s="138">
        <f>+DemandaDiaria(F20,$J$4,$A$1:$C$24,'Capacidad '!$K$6:$N$10)</f>
        <v>43.478260869565219</v>
      </c>
    </row>
    <row r="21" spans="1:10" ht="15.75" thickBot="1" x14ac:dyDescent="0.3">
      <c r="A21" s="135" t="s">
        <v>12</v>
      </c>
      <c r="B21" s="147" t="s">
        <v>303</v>
      </c>
      <c r="C21" s="129">
        <f>+DemandaMensual($C$2,B21,'Demanda Anual'!$A$1:$R$23)</f>
        <v>1750</v>
      </c>
      <c r="E21" s="135" t="s">
        <v>12</v>
      </c>
      <c r="F21" s="148" t="s">
        <v>303</v>
      </c>
      <c r="G21" s="138">
        <f>+DemandaDiaria(F21,$G$4,$A$1:$C$24,'Capacidad '!$K$6:$N$10)</f>
        <v>76.086956521739125</v>
      </c>
      <c r="H21" s="138">
        <f>+DemandaDiaria(F21,$H$4,$A$1:$C$24,'Capacidad '!$K$6:$N$10)</f>
        <v>76.086956521739125</v>
      </c>
      <c r="I21" s="138">
        <f>+DemandaDiaria(F21,$I$4,$A$1:$C$24,'Capacidad '!$K$6:$N$10)</f>
        <v>76.086956521739125</v>
      </c>
      <c r="J21" s="138">
        <f>+DemandaDiaria(F21,$J$4,$A$1:$C$24,'Capacidad '!$K$6:$N$10)</f>
        <v>76.086956521739125</v>
      </c>
    </row>
    <row r="22" spans="1:10" ht="15.75" thickBot="1" x14ac:dyDescent="0.3">
      <c r="A22" s="135" t="s">
        <v>12</v>
      </c>
      <c r="B22" s="143" t="s">
        <v>304</v>
      </c>
      <c r="C22" s="129">
        <f>+DemandaMensual($C$2,B22,'Demanda Anual'!$A$1:$R$23)</f>
        <v>301</v>
      </c>
      <c r="E22" s="135" t="s">
        <v>12</v>
      </c>
      <c r="F22" s="149" t="s">
        <v>304</v>
      </c>
      <c r="G22" s="138">
        <f>+DemandaDiaria(F22,$G$4,$A$1:$C$24,'Capacidad '!$K$6:$N$10)</f>
        <v>13.086956521739131</v>
      </c>
      <c r="H22" s="138">
        <f>+DemandaDiaria(F22,$H$4,$A$1:$C$24,'Capacidad '!$K$6:$N$10)</f>
        <v>13.086956521739131</v>
      </c>
      <c r="I22" s="138">
        <f>+DemandaDiaria(F22,$I$4,$A$1:$C$24,'Capacidad '!$K$6:$N$10)</f>
        <v>13.086956521739131</v>
      </c>
      <c r="J22" s="138">
        <f>+DemandaDiaria(F22,$J$4,$A$1:$C$24,'Capacidad '!$K$6:$N$10)</f>
        <v>13.086956521739131</v>
      </c>
    </row>
    <row r="23" spans="1:10" ht="15.75" thickBot="1" x14ac:dyDescent="0.3">
      <c r="A23" s="150" t="s">
        <v>28</v>
      </c>
      <c r="B23" s="151" t="s">
        <v>305</v>
      </c>
      <c r="C23" s="129">
        <f>+DemandaMensual($C$2,B23,'Demanda Anual'!$A$1:$R$23)</f>
        <v>99</v>
      </c>
      <c r="E23" s="150" t="s">
        <v>28</v>
      </c>
      <c r="F23" s="152" t="s">
        <v>305</v>
      </c>
      <c r="G23" s="138">
        <f>+DemandaDiaria(F23,$G$4,$A$1:$C$24,'Capacidad '!$K$6:$N$10)</f>
        <v>4.3043478260869561</v>
      </c>
      <c r="H23" s="138">
        <f>+DemandaDiaria(F23,$H$4,$A$1:$C$24,'Capacidad '!$K$6:$N$10)</f>
        <v>4.3043478260869561</v>
      </c>
      <c r="I23" s="138">
        <f>+DemandaDiaria(F23,$I$4,$A$1:$C$24,'Capacidad '!$K$6:$N$10)</f>
        <v>4.3043478260869561</v>
      </c>
      <c r="J23" s="138">
        <f>+DemandaDiaria(F23,$J$4,$A$1:$C$24,'Capacidad '!$K$6:$N$10)</f>
        <v>4.3043478260869561</v>
      </c>
    </row>
    <row r="24" spans="1:10" ht="15.75" thickBot="1" x14ac:dyDescent="0.3">
      <c r="A24" s="150" t="s">
        <v>20</v>
      </c>
      <c r="B24" s="153" t="s">
        <v>306</v>
      </c>
      <c r="C24" s="129">
        <f>+DemandaMensual($C$2,B24,'Demanda Anual'!$A$1:$R$23)</f>
        <v>27</v>
      </c>
      <c r="E24" s="150" t="s">
        <v>20</v>
      </c>
      <c r="F24" s="154" t="s">
        <v>306</v>
      </c>
      <c r="G24" s="138">
        <f>+DemandaDiaria(F24,$G$4,$A$1:$C$24,'Capacidad '!$K$6:$N$10)</f>
        <v>1.173913043478261</v>
      </c>
      <c r="H24" s="138">
        <f>+DemandaDiaria(F24,$H$4,$A$1:$C$24,'Capacidad '!$K$6:$N$10)</f>
        <v>1.173913043478261</v>
      </c>
      <c r="I24" s="138">
        <f>+DemandaDiaria(F24,$I$4,$A$1:$C$24,'Capacidad '!$K$6:$N$10)</f>
        <v>1.173913043478261</v>
      </c>
      <c r="J24" s="138">
        <f>+DemandaDiaria(F24,$J$4,$A$1:$C$24,'Capacidad '!$K$6:$N$10)</f>
        <v>1.173913043478261</v>
      </c>
    </row>
  </sheetData>
  <mergeCells count="1">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9"/>
  <sheetViews>
    <sheetView workbookViewId="0">
      <selection activeCell="I16" sqref="I16"/>
    </sheetView>
  </sheetViews>
  <sheetFormatPr defaultRowHeight="15" x14ac:dyDescent="0.25"/>
  <cols>
    <col min="1" max="1" width="15.140625" bestFit="1" customWidth="1"/>
    <col min="2" max="2" width="12.5703125" bestFit="1" customWidth="1"/>
  </cols>
  <sheetData>
    <row r="1" spans="1:2" x14ac:dyDescent="0.25">
      <c r="A1" s="8" t="s">
        <v>285</v>
      </c>
      <c r="B1" s="8" t="s">
        <v>274</v>
      </c>
    </row>
    <row r="2" spans="1:2" x14ac:dyDescent="0.25">
      <c r="A2" s="1" t="s">
        <v>157</v>
      </c>
      <c r="B2" s="1" t="s">
        <v>283</v>
      </c>
    </row>
    <row r="3" spans="1:2" x14ac:dyDescent="0.25">
      <c r="A3" s="1" t="s">
        <v>158</v>
      </c>
      <c r="B3" s="1" t="s">
        <v>283</v>
      </c>
    </row>
    <row r="4" spans="1:2" x14ac:dyDescent="0.25">
      <c r="A4" s="1" t="s">
        <v>159</v>
      </c>
      <c r="B4" s="1" t="s">
        <v>283</v>
      </c>
    </row>
    <row r="5" spans="1:2" x14ac:dyDescent="0.25">
      <c r="A5" s="1" t="s">
        <v>160</v>
      </c>
      <c r="B5" s="1" t="s">
        <v>283</v>
      </c>
    </row>
    <row r="6" spans="1:2" x14ac:dyDescent="0.25">
      <c r="A6" s="1" t="s">
        <v>161</v>
      </c>
      <c r="B6" s="1" t="s">
        <v>283</v>
      </c>
    </row>
    <row r="7" spans="1:2" x14ac:dyDescent="0.25">
      <c r="A7" s="1" t="s">
        <v>162</v>
      </c>
      <c r="B7" s="1" t="s">
        <v>283</v>
      </c>
    </row>
    <row r="8" spans="1:2" x14ac:dyDescent="0.25">
      <c r="A8" s="1" t="s">
        <v>272</v>
      </c>
      <c r="B8" s="1" t="s">
        <v>272</v>
      </c>
    </row>
    <row r="9" spans="1:2" x14ac:dyDescent="0.25">
      <c r="A9" s="1" t="s">
        <v>273</v>
      </c>
      <c r="B9" s="1" t="s">
        <v>273</v>
      </c>
    </row>
  </sheetData>
  <phoneticPr fontId="11"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Driver!$AR$10:$AR$11</xm:f>
          </x14:formula1>
          <xm:sqref>B2:B7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76"/>
  <sheetViews>
    <sheetView zoomScale="64" zoomScaleNormal="64" workbookViewId="0">
      <selection activeCell="D2" sqref="D2:D76"/>
    </sheetView>
  </sheetViews>
  <sheetFormatPr defaultColWidth="11.42578125" defaultRowHeight="15" x14ac:dyDescent="0.25"/>
  <cols>
    <col min="2" max="2" width="13.5703125" customWidth="1"/>
    <col min="3" max="4" width="22.7109375" bestFit="1" customWidth="1"/>
    <col min="5" max="5" width="22.7109375" customWidth="1"/>
    <col min="6" max="7" width="15.140625" bestFit="1" customWidth="1"/>
    <col min="8" max="8" width="19.5703125" bestFit="1" customWidth="1"/>
    <col min="9" max="9" width="11.140625" customWidth="1"/>
    <col min="10" max="10" width="22" bestFit="1" customWidth="1"/>
    <col min="11" max="11" width="24.85546875" bestFit="1" customWidth="1"/>
    <col min="12" max="12" width="25.140625" bestFit="1" customWidth="1"/>
    <col min="13" max="13" width="18.28515625" bestFit="1" customWidth="1"/>
    <col min="14" max="14" width="13" customWidth="1"/>
    <col min="15" max="15" width="12.7109375" bestFit="1" customWidth="1"/>
  </cols>
  <sheetData>
    <row r="1" spans="1:15" x14ac:dyDescent="0.25">
      <c r="A1" s="8" t="s">
        <v>164</v>
      </c>
      <c r="B1" s="32" t="s">
        <v>6</v>
      </c>
      <c r="C1" s="8" t="s">
        <v>238</v>
      </c>
      <c r="D1" s="8" t="s">
        <v>239</v>
      </c>
      <c r="E1" s="8" t="s">
        <v>236</v>
      </c>
      <c r="F1" s="8" t="s">
        <v>240</v>
      </c>
      <c r="G1" s="8" t="s">
        <v>257</v>
      </c>
      <c r="H1" s="8" t="s">
        <v>258</v>
      </c>
      <c r="I1" s="8" t="s">
        <v>165</v>
      </c>
      <c r="J1" s="155" t="s">
        <v>259</v>
      </c>
      <c r="K1" s="155" t="s">
        <v>241</v>
      </c>
      <c r="L1" s="155" t="s">
        <v>242</v>
      </c>
      <c r="M1" s="156" t="s">
        <v>243</v>
      </c>
      <c r="N1" s="157" t="s">
        <v>286</v>
      </c>
      <c r="O1" s="158" t="s">
        <v>274</v>
      </c>
    </row>
    <row r="2" spans="1:15" x14ac:dyDescent="0.25">
      <c r="A2" s="1">
        <v>1</v>
      </c>
      <c r="B2" s="63" t="s">
        <v>11</v>
      </c>
      <c r="C2" s="121" t="s">
        <v>301</v>
      </c>
      <c r="D2" s="121" t="s">
        <v>256</v>
      </c>
      <c r="E2" s="6" t="s">
        <v>231</v>
      </c>
      <c r="F2" s="30" t="str">
        <f>VLOOKUP(E2,'Asignacion Maquina'!$E$2:$F$76,2,0)</f>
        <v>Torno 4</v>
      </c>
      <c r="G2" s="62">
        <f>VLOOKUP(E2,Driver!$D$4:$AF$78,29,0)</f>
        <v>1.2710683760683761</v>
      </c>
      <c r="H2" s="62">
        <f>VLOOKUP(E2,Driver!$D$4:$AH$78,31,0)</f>
        <v>0.10583333333333333</v>
      </c>
      <c r="I2" s="3">
        <f>VLOOKUP('Matriz Tiempos'!E2,Driver!$D$4:$K$78,8,0)</f>
        <v>1</v>
      </c>
      <c r="J2" s="7">
        <f>H2*I2</f>
        <v>0.10583333333333333</v>
      </c>
      <c r="K2" s="29" t="e">
        <f>+G2/N2</f>
        <v>#DIV/0!</v>
      </c>
      <c r="L2" s="29">
        <f>+J2*N2</f>
        <v>0</v>
      </c>
      <c r="M2" s="29">
        <f>IFERROR(SUM(K2:L2),0)</f>
        <v>0</v>
      </c>
      <c r="N2" s="1">
        <f>+DemandaSector(O2,C2,'Calculo Demanda'!$E$4:$J$24)</f>
        <v>0</v>
      </c>
      <c r="O2" s="1" t="str">
        <f>+VLOOKUP(F2,'Sector Maquina'!$A$1:$B$9,2,0)</f>
        <v>MF Medical</v>
      </c>
    </row>
    <row r="3" spans="1:15" x14ac:dyDescent="0.25">
      <c r="A3" s="1">
        <v>2</v>
      </c>
      <c r="B3" s="63" t="s">
        <v>11</v>
      </c>
      <c r="C3" s="121" t="s">
        <v>301</v>
      </c>
      <c r="D3" s="121" t="s">
        <v>256</v>
      </c>
      <c r="E3" s="6" t="s">
        <v>229</v>
      </c>
      <c r="F3" s="30" t="str">
        <f>VLOOKUP(E3,'Asignacion Maquina'!$E$2:$F$76,2,0)</f>
        <v>Torno 6</v>
      </c>
      <c r="G3" s="62">
        <f>VLOOKUP(E3,Driver!$D$4:$AF$78,29,0)</f>
        <v>1.2710683760683761</v>
      </c>
      <c r="H3" s="62">
        <f>VLOOKUP(E3,Driver!$D$4:$AH$78,31,0)</f>
        <v>9.4166666666666662E-2</v>
      </c>
      <c r="I3" s="3">
        <f>VLOOKUP('Matriz Tiempos'!E3,Driver!$D$4:$K$78,8,0)</f>
        <v>1</v>
      </c>
      <c r="J3" s="7">
        <f t="shared" ref="J3:J66" si="0">H3*I3</f>
        <v>9.4166666666666662E-2</v>
      </c>
      <c r="K3" s="29" t="e">
        <f t="shared" ref="K3:K66" si="1">+G3/N3</f>
        <v>#DIV/0!</v>
      </c>
      <c r="L3" s="29">
        <f t="shared" ref="L3:L66" si="2">+J3*N3</f>
        <v>0</v>
      </c>
      <c r="M3" s="29">
        <f t="shared" ref="M3:M4" si="3">IFERROR(SUM(K3:L3),0)</f>
        <v>0</v>
      </c>
      <c r="N3" s="1">
        <f>+DemandaSector(O3,C3,'Calculo Demanda'!$E$4:$J$24)</f>
        <v>0</v>
      </c>
      <c r="O3" s="1" t="str">
        <f>+VLOOKUP(F3,'Sector Maquina'!$A$1:$B$9,2,0)</f>
        <v>MF Medical</v>
      </c>
    </row>
    <row r="4" spans="1:15" x14ac:dyDescent="0.25">
      <c r="A4" s="1">
        <v>3</v>
      </c>
      <c r="B4" s="63" t="s">
        <v>11</v>
      </c>
      <c r="C4" s="121" t="s">
        <v>301</v>
      </c>
      <c r="D4" s="121" t="s">
        <v>256</v>
      </c>
      <c r="E4" s="6" t="s">
        <v>232</v>
      </c>
      <c r="F4" s="30" t="str">
        <f>VLOOKUP(E4,'Asignacion Maquina'!$E$2:$F$76,2,0)</f>
        <v>Torno 6</v>
      </c>
      <c r="G4" s="62">
        <f>VLOOKUP(E4,Driver!$D$4:$AF$78,29,0)</f>
        <v>1.2710683760683761</v>
      </c>
      <c r="H4" s="62">
        <f>VLOOKUP(E4,Driver!$D$4:$AH$78,31,0)</f>
        <v>3.833333333333333E-2</v>
      </c>
      <c r="I4" s="3">
        <f>VLOOKUP('Matriz Tiempos'!E4,Driver!$D$4:$K$78,8,0)</f>
        <v>1</v>
      </c>
      <c r="J4" s="7">
        <f t="shared" si="0"/>
        <v>3.833333333333333E-2</v>
      </c>
      <c r="K4" s="29" t="e">
        <f t="shared" si="1"/>
        <v>#DIV/0!</v>
      </c>
      <c r="L4" s="29">
        <f t="shared" si="2"/>
        <v>0</v>
      </c>
      <c r="M4" s="29">
        <f t="shared" si="3"/>
        <v>0</v>
      </c>
      <c r="N4" s="1">
        <f>+DemandaSector(O4,C4,'Calculo Demanda'!$E$4:$J$24)</f>
        <v>0</v>
      </c>
      <c r="O4" s="1" t="str">
        <f>+VLOOKUP(F4,'Sector Maquina'!$A$1:$B$9,2,0)</f>
        <v>MF Medical</v>
      </c>
    </row>
    <row r="5" spans="1:15" ht="15" customHeight="1" x14ac:dyDescent="0.25">
      <c r="A5" s="1">
        <v>4</v>
      </c>
      <c r="B5" s="33" t="s">
        <v>11</v>
      </c>
      <c r="C5" s="121" t="s">
        <v>301</v>
      </c>
      <c r="D5" s="121" t="s">
        <v>256</v>
      </c>
      <c r="E5" s="6" t="s">
        <v>228</v>
      </c>
      <c r="F5" s="30" t="str">
        <f>VLOOKUP(E5,'Asignacion Maquina'!$E$2:$F$76,2,0)</f>
        <v>Torno 2</v>
      </c>
      <c r="G5" s="62">
        <f>VLOOKUP(E5,Driver!$D$4:$AF$78,8,0)</f>
        <v>1</v>
      </c>
      <c r="H5" s="62">
        <f>VLOOKUP(E5,Driver!$D$4:$N$78,10,0)</f>
        <v>0</v>
      </c>
      <c r="I5" s="3">
        <v>1</v>
      </c>
      <c r="J5" s="7">
        <f t="shared" si="0"/>
        <v>0</v>
      </c>
      <c r="K5" s="29" t="e">
        <f t="shared" si="1"/>
        <v>#DIV/0!</v>
      </c>
      <c r="L5" s="29">
        <f t="shared" si="2"/>
        <v>0</v>
      </c>
      <c r="M5" s="29">
        <f t="shared" ref="M5:M9" si="4">IFERROR(SUM(L5:L5),0)</f>
        <v>0</v>
      </c>
      <c r="N5" s="1">
        <f>+DemandaSector(O5,C5,'Calculo Demanda'!$E$4:$J$24)</f>
        <v>0</v>
      </c>
      <c r="O5" s="1" t="str">
        <f>+VLOOKUP(F5,'Sector Maquina'!$A$1:$B$9,2,0)</f>
        <v>MF Medical</v>
      </c>
    </row>
    <row r="6" spans="1:15" x14ac:dyDescent="0.25">
      <c r="A6" s="1">
        <v>5</v>
      </c>
      <c r="B6" s="63" t="s">
        <v>11</v>
      </c>
      <c r="C6" s="121" t="s">
        <v>301</v>
      </c>
      <c r="D6" s="121" t="s">
        <v>256</v>
      </c>
      <c r="E6" s="6" t="s">
        <v>244</v>
      </c>
      <c r="F6" s="30" t="str">
        <f>VLOOKUP(E6,'Asignacion Maquina'!$E$2:$F$76,2,0)</f>
        <v>Torno 4</v>
      </c>
      <c r="G6" s="62">
        <f>VLOOKUP(E6,Driver!$D$4:$AF$78,29,0)</f>
        <v>1.2710683760683761</v>
      </c>
      <c r="H6" s="62">
        <f>VLOOKUP(E6,Driver!$D$4:$AH$78,31,0)</f>
        <v>1.8888888888888889E-2</v>
      </c>
      <c r="I6" s="3">
        <f>VLOOKUP('Matriz Tiempos'!E6,Driver!$D$4:$K$78,8,0)</f>
        <v>1</v>
      </c>
      <c r="J6" s="7">
        <f t="shared" si="0"/>
        <v>1.8888888888888889E-2</v>
      </c>
      <c r="K6" s="29" t="e">
        <f t="shared" si="1"/>
        <v>#DIV/0!</v>
      </c>
      <c r="L6" s="29">
        <f t="shared" si="2"/>
        <v>0</v>
      </c>
      <c r="M6" s="29">
        <f t="shared" ref="M6:M8" si="5">IFERROR(SUM(K6:L6),0)</f>
        <v>0</v>
      </c>
      <c r="N6" s="1">
        <f>+DemandaSector(O6,C6,'Calculo Demanda'!$E$4:$J$24)</f>
        <v>0</v>
      </c>
      <c r="O6" s="1" t="str">
        <f>+VLOOKUP(F6,'Sector Maquina'!$A$1:$B$9,2,0)</f>
        <v>MF Medical</v>
      </c>
    </row>
    <row r="7" spans="1:15" x14ac:dyDescent="0.25">
      <c r="A7" s="1">
        <v>6</v>
      </c>
      <c r="B7" s="63" t="s">
        <v>11</v>
      </c>
      <c r="C7" s="121" t="s">
        <v>301</v>
      </c>
      <c r="D7" s="121" t="s">
        <v>256</v>
      </c>
      <c r="E7" s="6" t="s">
        <v>230</v>
      </c>
      <c r="F7" s="30" t="str">
        <f>VLOOKUP(E7,'Asignacion Maquina'!$E$2:$F$76,2,0)</f>
        <v>Torno 3</v>
      </c>
      <c r="G7" s="62">
        <f>VLOOKUP(E7,Driver!$D$4:$AF$78,29,0)</f>
        <v>2.5</v>
      </c>
      <c r="H7" s="62">
        <f>VLOOKUP(E7,Driver!$D$4:$AH$78,31,0)</f>
        <v>6.0277777777777777E-2</v>
      </c>
      <c r="I7" s="3">
        <f>VLOOKUP('Matriz Tiempos'!E7,Driver!$D$4:$K$78,8,0)</f>
        <v>1</v>
      </c>
      <c r="J7" s="7">
        <f t="shared" si="0"/>
        <v>6.0277777777777777E-2</v>
      </c>
      <c r="K7" s="29" t="e">
        <f t="shared" si="1"/>
        <v>#DIV/0!</v>
      </c>
      <c r="L7" s="29">
        <f t="shared" si="2"/>
        <v>0</v>
      </c>
      <c r="M7" s="29">
        <f t="shared" si="5"/>
        <v>0</v>
      </c>
      <c r="N7" s="1">
        <f>+DemandaSector(O7,C7,'Calculo Demanda'!$E$4:$J$24)</f>
        <v>0</v>
      </c>
      <c r="O7" s="1" t="str">
        <f>+VLOOKUP(F7,'Sector Maquina'!$A$1:$B$9,2,0)</f>
        <v>MF Medical</v>
      </c>
    </row>
    <row r="8" spans="1:15" x14ac:dyDescent="0.25">
      <c r="A8" s="1">
        <v>7</v>
      </c>
      <c r="B8" s="63" t="s">
        <v>11</v>
      </c>
      <c r="C8" s="121" t="s">
        <v>300</v>
      </c>
      <c r="D8" s="121" t="s">
        <v>255</v>
      </c>
      <c r="E8" s="6" t="s">
        <v>245</v>
      </c>
      <c r="F8" s="30" t="str">
        <f>VLOOKUP(E8,'Asignacion Maquina'!$E$2:$F$76,2,0)</f>
        <v>Torno 4</v>
      </c>
      <c r="G8" s="62">
        <f>VLOOKUP(E8,Driver!$D$4:$AF$78,29,0)</f>
        <v>1.2710683760683761</v>
      </c>
      <c r="H8" s="62">
        <f>VLOOKUP(E8,Driver!$D$4:$AH$78,31,0)</f>
        <v>0.05</v>
      </c>
      <c r="I8" s="3">
        <f>VLOOKUP('Matriz Tiempos'!E8,Driver!$D$4:$K$78,8,0)</f>
        <v>1</v>
      </c>
      <c r="J8" s="7">
        <f t="shared" si="0"/>
        <v>0.05</v>
      </c>
      <c r="K8" s="29">
        <f t="shared" si="1"/>
        <v>0.73091913517445428</v>
      </c>
      <c r="L8" s="29">
        <f t="shared" si="2"/>
        <v>8.6950000000000013E-2</v>
      </c>
      <c r="M8" s="29">
        <f t="shared" si="5"/>
        <v>0.81786913517445425</v>
      </c>
      <c r="N8" s="1">
        <f>+DemandaSector(O8,C8,'Calculo Demanda'!$E$4:$J$24)</f>
        <v>1.7390000000000001</v>
      </c>
      <c r="O8" s="1" t="str">
        <f>+VLOOKUP(F8,'Sector Maquina'!$A$1:$B$9,2,0)</f>
        <v>MF Medical</v>
      </c>
    </row>
    <row r="9" spans="1:15" x14ac:dyDescent="0.25">
      <c r="A9" s="1">
        <v>8</v>
      </c>
      <c r="B9" s="33" t="s">
        <v>11</v>
      </c>
      <c r="C9" s="121" t="s">
        <v>300</v>
      </c>
      <c r="D9" s="121" t="s">
        <v>255</v>
      </c>
      <c r="E9" s="6" t="s">
        <v>222</v>
      </c>
      <c r="F9" s="30" t="str">
        <f>VLOOKUP(E9,'Asignacion Maquina'!$E$2:$F$76,2,0)</f>
        <v>Torno 2</v>
      </c>
      <c r="G9" s="62">
        <f>VLOOKUP(E9,Driver!$D$4:$AF$78,8,0)</f>
        <v>1</v>
      </c>
      <c r="H9" s="62">
        <f>VLOOKUP(E9,Driver!$D$4:$N$78,10,0)</f>
        <v>0</v>
      </c>
      <c r="I9" s="3">
        <v>1</v>
      </c>
      <c r="J9" s="7">
        <f t="shared" si="0"/>
        <v>0</v>
      </c>
      <c r="K9" s="29">
        <f t="shared" si="1"/>
        <v>0.57504312823461756</v>
      </c>
      <c r="L9" s="29">
        <f t="shared" si="2"/>
        <v>0</v>
      </c>
      <c r="M9" s="29">
        <f t="shared" si="4"/>
        <v>0</v>
      </c>
      <c r="N9" s="1">
        <f>+DemandaSector(O9,C9,'Calculo Demanda'!$E$4:$J$24)</f>
        <v>1.7390000000000001</v>
      </c>
      <c r="O9" s="1" t="str">
        <f>+VLOOKUP(F9,'Sector Maquina'!$A$1:$B$9,2,0)</f>
        <v>MF Medical</v>
      </c>
    </row>
    <row r="10" spans="1:15" x14ac:dyDescent="0.25">
      <c r="A10" s="1">
        <v>9</v>
      </c>
      <c r="B10" s="63" t="s">
        <v>11</v>
      </c>
      <c r="C10" s="121" t="s">
        <v>300</v>
      </c>
      <c r="D10" s="121" t="s">
        <v>255</v>
      </c>
      <c r="E10" s="6" t="s">
        <v>213</v>
      </c>
      <c r="F10" s="30" t="str">
        <f>VLOOKUP(E10,'Asignacion Maquina'!$E$2:$F$76,2,0)</f>
        <v>Torno 2</v>
      </c>
      <c r="G10" s="62">
        <f>VLOOKUP(E10,Driver!$D$4:$AF$78,29,0)</f>
        <v>1.2710683760683761</v>
      </c>
      <c r="H10" s="62">
        <f>VLOOKUP(E10,Driver!$D$4:$AH$78,31,0)</f>
        <v>0.10527777777777778</v>
      </c>
      <c r="I10" s="3">
        <f>VLOOKUP('Matriz Tiempos'!E10,Driver!$D$4:$K$78,8,0)</f>
        <v>1</v>
      </c>
      <c r="J10" s="7">
        <f t="shared" si="0"/>
        <v>0.10527777777777778</v>
      </c>
      <c r="K10" s="29">
        <f t="shared" si="1"/>
        <v>0.73091913517445428</v>
      </c>
      <c r="L10" s="29">
        <f t="shared" si="2"/>
        <v>0.18307805555555556</v>
      </c>
      <c r="M10" s="29">
        <f t="shared" ref="M10:M73" si="6">IFERROR(SUM(K10:L10),0)</f>
        <v>0.91399719073000985</v>
      </c>
      <c r="N10" s="1">
        <f>+DemandaSector(O10,C10,'Calculo Demanda'!$E$4:$J$24)</f>
        <v>1.7390000000000001</v>
      </c>
      <c r="O10" s="1" t="str">
        <f>+VLOOKUP(F10,'Sector Maquina'!$A$1:$B$9,2,0)</f>
        <v>MF Medical</v>
      </c>
    </row>
    <row r="11" spans="1:15" x14ac:dyDescent="0.25">
      <c r="A11" s="1">
        <v>10</v>
      </c>
      <c r="B11" s="63" t="s">
        <v>11</v>
      </c>
      <c r="C11" s="121" t="s">
        <v>300</v>
      </c>
      <c r="D11" s="121" t="s">
        <v>255</v>
      </c>
      <c r="E11" s="6" t="s">
        <v>218</v>
      </c>
      <c r="F11" s="30" t="str">
        <f>VLOOKUP(E11,'Asignacion Maquina'!$E$2:$F$76,2,0)</f>
        <v>Torno 4</v>
      </c>
      <c r="G11" s="62">
        <f>VLOOKUP(E11,Driver!$D$4:$AF$78,29,0)</f>
        <v>1.0108333333333333</v>
      </c>
      <c r="H11" s="62">
        <f>VLOOKUP(E11,Driver!$D$4:$AH$78,31,0)</f>
        <v>6.6666666666666666E-2</v>
      </c>
      <c r="I11" s="3">
        <f>VLOOKUP('Matriz Tiempos'!E11,Driver!$D$4:$K$78,8,0)</f>
        <v>1</v>
      </c>
      <c r="J11" s="7">
        <f t="shared" si="0"/>
        <v>6.6666666666666666E-2</v>
      </c>
      <c r="K11" s="29">
        <f t="shared" si="1"/>
        <v>0.58127276212382584</v>
      </c>
      <c r="L11" s="29">
        <f t="shared" si="2"/>
        <v>0.11593333333333333</v>
      </c>
      <c r="M11" s="29">
        <f t="shared" si="6"/>
        <v>0.69720609545715917</v>
      </c>
      <c r="N11" s="1">
        <f>+DemandaSector(O11,C11,'Calculo Demanda'!$E$4:$J$24)</f>
        <v>1.7390000000000001</v>
      </c>
      <c r="O11" s="1" t="str">
        <f>+VLOOKUP(F11,'Sector Maquina'!$A$1:$B$9,2,0)</f>
        <v>MF Medical</v>
      </c>
    </row>
    <row r="12" spans="1:15" x14ac:dyDescent="0.25">
      <c r="A12" s="1">
        <v>11</v>
      </c>
      <c r="B12" s="63" t="s">
        <v>11</v>
      </c>
      <c r="C12" s="121" t="s">
        <v>300</v>
      </c>
      <c r="D12" s="121" t="s">
        <v>255</v>
      </c>
      <c r="E12" s="6" t="s">
        <v>220</v>
      </c>
      <c r="F12" s="30" t="str">
        <f>VLOOKUP(E12,'Asignacion Maquina'!$E$2:$F$76,2,0)</f>
        <v>Torno 3</v>
      </c>
      <c r="G12" s="62">
        <f>VLOOKUP(E12,Driver!$D$4:$AF$78,29,0)</f>
        <v>1.2710683760683761</v>
      </c>
      <c r="H12" s="62">
        <f>VLOOKUP(E12,Driver!$D$4:$AH$78,31,0)</f>
        <v>6.5000000000000002E-2</v>
      </c>
      <c r="I12" s="3">
        <f>VLOOKUP('Matriz Tiempos'!E12,Driver!$D$4:$K$78,8,0)</f>
        <v>1</v>
      </c>
      <c r="J12" s="7">
        <f t="shared" si="0"/>
        <v>6.5000000000000002E-2</v>
      </c>
      <c r="K12" s="29">
        <f t="shared" si="1"/>
        <v>0.73091913517445428</v>
      </c>
      <c r="L12" s="29">
        <f t="shared" si="2"/>
        <v>0.11303500000000001</v>
      </c>
      <c r="M12" s="29">
        <f t="shared" si="6"/>
        <v>0.84395413517445428</v>
      </c>
      <c r="N12" s="1">
        <f>+DemandaSector(O12,C12,'Calculo Demanda'!$E$4:$J$24)</f>
        <v>1.7390000000000001</v>
      </c>
      <c r="O12" s="1" t="str">
        <f>+VLOOKUP(F12,'Sector Maquina'!$A$1:$B$9,2,0)</f>
        <v>MF Medical</v>
      </c>
    </row>
    <row r="13" spans="1:15" x14ac:dyDescent="0.25">
      <c r="A13" s="1">
        <v>12</v>
      </c>
      <c r="B13" s="63" t="s">
        <v>11</v>
      </c>
      <c r="C13" s="121" t="s">
        <v>300</v>
      </c>
      <c r="D13" s="121" t="s">
        <v>255</v>
      </c>
      <c r="E13" s="6" t="s">
        <v>215</v>
      </c>
      <c r="F13" s="30" t="str">
        <f>VLOOKUP(E13,'Asignacion Maquina'!$E$2:$F$76,2,0)</f>
        <v>Torno 1</v>
      </c>
      <c r="G13" s="62">
        <f>VLOOKUP(E13,Driver!$D$4:$AF$78,29,0)</f>
        <v>2</v>
      </c>
      <c r="H13" s="62">
        <f>VLOOKUP(E13,Driver!$D$4:$AH$78,31,0)</f>
        <v>9.7222222222222224E-3</v>
      </c>
      <c r="I13" s="3">
        <f>VLOOKUP('Matriz Tiempos'!E13,Driver!$D$4:$K$78,8,0)</f>
        <v>1</v>
      </c>
      <c r="J13" s="7">
        <f t="shared" si="0"/>
        <v>9.7222222222222224E-3</v>
      </c>
      <c r="K13" s="29">
        <f t="shared" si="1"/>
        <v>1.1500862564692351</v>
      </c>
      <c r="L13" s="29">
        <f t="shared" si="2"/>
        <v>1.6906944444444447E-2</v>
      </c>
      <c r="M13" s="29">
        <f t="shared" si="6"/>
        <v>1.1669932009136796</v>
      </c>
      <c r="N13" s="1">
        <f>+DemandaSector(O13,C13,'Calculo Demanda'!$E$4:$J$24)</f>
        <v>1.7390000000000001</v>
      </c>
      <c r="O13" s="1" t="str">
        <f>+VLOOKUP(F13,'Sector Maquina'!$A$1:$B$9,2,0)</f>
        <v>MF Medical</v>
      </c>
    </row>
    <row r="14" spans="1:15" x14ac:dyDescent="0.25">
      <c r="A14" s="1">
        <v>13</v>
      </c>
      <c r="B14" s="63" t="s">
        <v>11</v>
      </c>
      <c r="C14" s="121" t="s">
        <v>300</v>
      </c>
      <c r="D14" s="121" t="s">
        <v>255</v>
      </c>
      <c r="E14" s="6" t="s">
        <v>227</v>
      </c>
      <c r="F14" s="30" t="str">
        <f>VLOOKUP(E14,'Asignacion Maquina'!$E$2:$F$76,2,0)</f>
        <v>Torno 4</v>
      </c>
      <c r="G14" s="62">
        <f>VLOOKUP(E14,Driver!$D$4:$AF$78,29,0)</f>
        <v>1</v>
      </c>
      <c r="H14" s="62">
        <f>VLOOKUP(E14,Driver!$D$4:$AH$78,31,0)</f>
        <v>1.6666666666666666E-2</v>
      </c>
      <c r="I14" s="3">
        <f>VLOOKUP('Matriz Tiempos'!E14,Driver!$D$4:$K$78,8,0)</f>
        <v>1</v>
      </c>
      <c r="J14" s="7">
        <f t="shared" si="0"/>
        <v>1.6666666666666666E-2</v>
      </c>
      <c r="K14" s="29">
        <f t="shared" si="1"/>
        <v>0.57504312823461756</v>
      </c>
      <c r="L14" s="29">
        <f t="shared" si="2"/>
        <v>2.8983333333333333E-2</v>
      </c>
      <c r="M14" s="29">
        <f t="shared" si="6"/>
        <v>0.60402646156795092</v>
      </c>
      <c r="N14" s="1">
        <f>+DemandaSector(O14,C14,'Calculo Demanda'!$E$4:$J$24)</f>
        <v>1.7390000000000001</v>
      </c>
      <c r="O14" s="1" t="str">
        <f>+VLOOKUP(F14,'Sector Maquina'!$A$1:$B$9,2,0)</f>
        <v>MF Medical</v>
      </c>
    </row>
    <row r="15" spans="1:15" x14ac:dyDescent="0.25">
      <c r="A15" s="1">
        <v>14</v>
      </c>
      <c r="B15" s="63" t="s">
        <v>11</v>
      </c>
      <c r="C15" s="121" t="s">
        <v>300</v>
      </c>
      <c r="D15" s="121" t="s">
        <v>255</v>
      </c>
      <c r="E15" s="6" t="s">
        <v>214</v>
      </c>
      <c r="F15" s="30" t="str">
        <f>VLOOKUP(E15,'Asignacion Maquina'!$E$2:$F$76,2,0)</f>
        <v>Torno 2</v>
      </c>
      <c r="G15" s="62">
        <f>VLOOKUP(E15,Driver!$D$4:$AF$78,29,0)</f>
        <v>1.2710683760683761</v>
      </c>
      <c r="H15" s="62">
        <f>VLOOKUP(E15,Driver!$D$4:$AH$78,31,0)</f>
        <v>4.4444444444444446E-2</v>
      </c>
      <c r="I15" s="3">
        <f>VLOOKUP('Matriz Tiempos'!E15,Driver!$D$4:$K$78,8,0)</f>
        <v>1</v>
      </c>
      <c r="J15" s="7">
        <f t="shared" si="0"/>
        <v>4.4444444444444446E-2</v>
      </c>
      <c r="K15" s="29">
        <f t="shared" si="1"/>
        <v>0.73091913517445428</v>
      </c>
      <c r="L15" s="29">
        <f t="shared" si="2"/>
        <v>7.7288888888888893E-2</v>
      </c>
      <c r="M15" s="29">
        <f t="shared" si="6"/>
        <v>0.80820802406334313</v>
      </c>
      <c r="N15" s="1">
        <f>+DemandaSector(O15,C15,'Calculo Demanda'!$E$4:$J$24)</f>
        <v>1.7390000000000001</v>
      </c>
      <c r="O15" s="1" t="str">
        <f>+VLOOKUP(F15,'Sector Maquina'!$A$1:$B$9,2,0)</f>
        <v>MF Medical</v>
      </c>
    </row>
    <row r="16" spans="1:15" x14ac:dyDescent="0.25">
      <c r="A16" s="1">
        <v>15</v>
      </c>
      <c r="B16" s="63" t="s">
        <v>11</v>
      </c>
      <c r="C16" s="121" t="s">
        <v>300</v>
      </c>
      <c r="D16" s="121" t="s">
        <v>255</v>
      </c>
      <c r="E16" s="6" t="s">
        <v>224</v>
      </c>
      <c r="F16" s="30" t="str">
        <f>VLOOKUP(E16,'Asignacion Maquina'!$E$2:$F$76,2,0)</f>
        <v>Torno 6</v>
      </c>
      <c r="G16" s="62">
        <f>VLOOKUP(E16,Driver!$D$4:$AF$78,29,0)</f>
        <v>1.2710683760683761</v>
      </c>
      <c r="H16" s="62">
        <f>VLOOKUP(E16,Driver!$D$4:$AH$78,31,0)</f>
        <v>3.6666666666666667E-2</v>
      </c>
      <c r="I16" s="3">
        <f>VLOOKUP('Matriz Tiempos'!E16,Driver!$D$4:$K$78,8,0)</f>
        <v>1</v>
      </c>
      <c r="J16" s="7">
        <f t="shared" si="0"/>
        <v>3.6666666666666667E-2</v>
      </c>
      <c r="K16" s="29">
        <f t="shared" si="1"/>
        <v>0.73091913517445428</v>
      </c>
      <c r="L16" s="29">
        <f t="shared" si="2"/>
        <v>6.3763333333333339E-2</v>
      </c>
      <c r="M16" s="29">
        <f t="shared" si="6"/>
        <v>0.79468246850778756</v>
      </c>
      <c r="N16" s="1">
        <f>+DemandaSector(O16,C16,'Calculo Demanda'!$E$4:$J$24)</f>
        <v>1.7390000000000001</v>
      </c>
      <c r="O16" s="1" t="str">
        <f>+VLOOKUP(F16,'Sector Maquina'!$A$1:$B$9,2,0)</f>
        <v>MF Medical</v>
      </c>
    </row>
    <row r="17" spans="1:15" x14ac:dyDescent="0.25">
      <c r="A17" s="1">
        <v>16</v>
      </c>
      <c r="B17" s="63" t="s">
        <v>11</v>
      </c>
      <c r="C17" s="121" t="s">
        <v>300</v>
      </c>
      <c r="D17" s="121" t="s">
        <v>255</v>
      </c>
      <c r="E17" s="6" t="s">
        <v>225</v>
      </c>
      <c r="F17" s="30" t="str">
        <f>VLOOKUP(E17,'Asignacion Maquina'!$E$2:$F$76,2,0)</f>
        <v>Torno 5</v>
      </c>
      <c r="G17" s="62">
        <f>VLOOKUP(E17,Driver!$D$4:$AF$78,29,0)</f>
        <v>1.2710683760683761</v>
      </c>
      <c r="H17" s="62">
        <f>VLOOKUP(E17,Driver!$D$4:$AH$78,31,0)</f>
        <v>4.2777777777777776E-2</v>
      </c>
      <c r="I17" s="3">
        <f>VLOOKUP('Matriz Tiempos'!E17,Driver!$D$4:$K$78,8,0)</f>
        <v>1</v>
      </c>
      <c r="J17" s="7">
        <f t="shared" si="0"/>
        <v>4.2777777777777776E-2</v>
      </c>
      <c r="K17" s="29">
        <f t="shared" si="1"/>
        <v>0.73091913517445428</v>
      </c>
      <c r="L17" s="29">
        <f t="shared" si="2"/>
        <v>7.4390555555555557E-2</v>
      </c>
      <c r="M17" s="29">
        <f t="shared" si="6"/>
        <v>0.8053096907300098</v>
      </c>
      <c r="N17" s="1">
        <f>+DemandaSector(O17,C17,'Calculo Demanda'!$E$4:$J$24)</f>
        <v>1.7390000000000001</v>
      </c>
      <c r="O17" s="1" t="str">
        <f>+VLOOKUP(F17,'Sector Maquina'!$A$1:$B$9,2,0)</f>
        <v>MF Medical</v>
      </c>
    </row>
    <row r="18" spans="1:15" x14ac:dyDescent="0.25">
      <c r="A18" s="1">
        <v>17</v>
      </c>
      <c r="B18" s="63" t="s">
        <v>11</v>
      </c>
      <c r="C18" s="121" t="s">
        <v>300</v>
      </c>
      <c r="D18" s="121" t="s">
        <v>255</v>
      </c>
      <c r="E18" s="6" t="s">
        <v>226</v>
      </c>
      <c r="F18" s="30" t="str">
        <f>VLOOKUP(E18,'Asignacion Maquina'!$E$2:$F$76,2,0)</f>
        <v>Torno 1</v>
      </c>
      <c r="G18" s="62">
        <f>VLOOKUP(E18,Driver!$D$4:$AF$78,29,0)</f>
        <v>1.2710683760683761</v>
      </c>
      <c r="H18" s="62">
        <f>VLOOKUP(E18,Driver!$D$4:$AH$78,31,0)</f>
        <v>2.4444444444444446E-2</v>
      </c>
      <c r="I18" s="3">
        <f>VLOOKUP('Matriz Tiempos'!E18,Driver!$D$4:$K$78,8,0)</f>
        <v>1</v>
      </c>
      <c r="J18" s="7">
        <f t="shared" si="0"/>
        <v>2.4444444444444446E-2</v>
      </c>
      <c r="K18" s="29">
        <f t="shared" si="1"/>
        <v>0.73091913517445428</v>
      </c>
      <c r="L18" s="29">
        <f t="shared" si="2"/>
        <v>4.2508888888888895E-2</v>
      </c>
      <c r="M18" s="29">
        <f t="shared" si="6"/>
        <v>0.77342802406334321</v>
      </c>
      <c r="N18" s="1">
        <f>+DemandaSector(O18,C18,'Calculo Demanda'!$E$4:$J$24)</f>
        <v>1.7390000000000001</v>
      </c>
      <c r="O18" s="1" t="str">
        <f>+VLOOKUP(F18,'Sector Maquina'!$A$1:$B$9,2,0)</f>
        <v>MF Medical</v>
      </c>
    </row>
    <row r="19" spans="1:15" x14ac:dyDescent="0.25">
      <c r="A19" s="1">
        <v>18</v>
      </c>
      <c r="B19" s="63" t="s">
        <v>11</v>
      </c>
      <c r="C19" s="121" t="s">
        <v>300</v>
      </c>
      <c r="D19" s="121" t="s">
        <v>255</v>
      </c>
      <c r="E19" s="6" t="s">
        <v>247</v>
      </c>
      <c r="F19" s="30" t="str">
        <f>VLOOKUP(E19,'Asignacion Maquina'!$E$2:$F$76,2,0)</f>
        <v>Torno 5</v>
      </c>
      <c r="G19" s="62">
        <f>VLOOKUP(E19,Driver!$D$4:$AF$78,29,0)</f>
        <v>1.2710683760683761</v>
      </c>
      <c r="H19" s="62">
        <f>VLOOKUP(E19,Driver!$D$4:$AH$78,31,0)</f>
        <v>0.15277777777777779</v>
      </c>
      <c r="I19" s="3">
        <f>VLOOKUP('Matriz Tiempos'!E19,Driver!$D$4:$K$78,8,0)</f>
        <v>1</v>
      </c>
      <c r="J19" s="7">
        <f t="shared" si="0"/>
        <v>0.15277777777777779</v>
      </c>
      <c r="K19" s="29">
        <f t="shared" si="1"/>
        <v>0.73091913517445428</v>
      </c>
      <c r="L19" s="29">
        <f t="shared" si="2"/>
        <v>0.26568055555555559</v>
      </c>
      <c r="M19" s="29">
        <f t="shared" si="6"/>
        <v>0.99659969073000987</v>
      </c>
      <c r="N19" s="1">
        <f>+DemandaSector(O19,C19,'Calculo Demanda'!$E$4:$J$24)</f>
        <v>1.7390000000000001</v>
      </c>
      <c r="O19" s="1" t="str">
        <f>+VLOOKUP(F19,'Sector Maquina'!$A$1:$B$9,2,0)</f>
        <v>MF Medical</v>
      </c>
    </row>
    <row r="20" spans="1:15" x14ac:dyDescent="0.25">
      <c r="A20" s="1">
        <v>19</v>
      </c>
      <c r="B20" s="63" t="s">
        <v>11</v>
      </c>
      <c r="C20" s="121" t="s">
        <v>300</v>
      </c>
      <c r="D20" s="121" t="s">
        <v>255</v>
      </c>
      <c r="E20" s="6" t="s">
        <v>217</v>
      </c>
      <c r="F20" s="30" t="str">
        <f>VLOOKUP(E20,'Asignacion Maquina'!$E$2:$F$76,2,0)</f>
        <v>Torno 1</v>
      </c>
      <c r="G20" s="62">
        <f>VLOOKUP(E20,Driver!$D$4:$AF$78,29,0)</f>
        <v>1.2710683760683761</v>
      </c>
      <c r="H20" s="62">
        <f>VLOOKUP(E20,Driver!$D$4:$AH$78,31,0)</f>
        <v>1.9444444444444445E-2</v>
      </c>
      <c r="I20" s="3">
        <f>VLOOKUP('Matriz Tiempos'!E20,Driver!$D$4:$K$78,8,0)</f>
        <v>1</v>
      </c>
      <c r="J20" s="7">
        <f t="shared" si="0"/>
        <v>1.9444444444444445E-2</v>
      </c>
      <c r="K20" s="29">
        <f t="shared" si="1"/>
        <v>0.73091913517445428</v>
      </c>
      <c r="L20" s="29">
        <f t="shared" si="2"/>
        <v>3.3813888888888893E-2</v>
      </c>
      <c r="M20" s="29">
        <f t="shared" si="6"/>
        <v>0.7647330240633432</v>
      </c>
      <c r="N20" s="1">
        <f>+DemandaSector(O20,C20,'Calculo Demanda'!$E$4:$J$24)</f>
        <v>1.7390000000000001</v>
      </c>
      <c r="O20" s="1" t="str">
        <f>+VLOOKUP(F20,'Sector Maquina'!$A$1:$B$9,2,0)</f>
        <v>MF Medical</v>
      </c>
    </row>
    <row r="21" spans="1:15" x14ac:dyDescent="0.25">
      <c r="A21" s="1">
        <v>20</v>
      </c>
      <c r="B21" s="63" t="s">
        <v>11</v>
      </c>
      <c r="C21" s="121" t="s">
        <v>300</v>
      </c>
      <c r="D21" s="121" t="s">
        <v>255</v>
      </c>
      <c r="E21" s="6" t="s">
        <v>223</v>
      </c>
      <c r="F21" s="30" t="str">
        <f>VLOOKUP(E21,'Asignacion Maquina'!$E$2:$F$76,2,0)</f>
        <v>Torno 6</v>
      </c>
      <c r="G21" s="62">
        <f>VLOOKUP(E21,Driver!$D$4:$AF$78,29,0)</f>
        <v>1.2710683760683761</v>
      </c>
      <c r="H21" s="62">
        <f>VLOOKUP(E21,Driver!$D$4:$AH$78,31,0)</f>
        <v>8.3333333333333332E-3</v>
      </c>
      <c r="I21" s="3">
        <f>VLOOKUP('Matriz Tiempos'!E21,Driver!$D$4:$K$78,8,0)</f>
        <v>1</v>
      </c>
      <c r="J21" s="7">
        <f t="shared" si="0"/>
        <v>8.3333333333333332E-3</v>
      </c>
      <c r="K21" s="29">
        <f t="shared" si="1"/>
        <v>0.73091913517445428</v>
      </c>
      <c r="L21" s="29">
        <f t="shared" si="2"/>
        <v>1.4491666666666667E-2</v>
      </c>
      <c r="M21" s="29">
        <f t="shared" si="6"/>
        <v>0.74541080184112096</v>
      </c>
      <c r="N21" s="1">
        <f>+DemandaSector(O21,C21,'Calculo Demanda'!$E$4:$J$24)</f>
        <v>1.7390000000000001</v>
      </c>
      <c r="O21" s="1" t="str">
        <f>+VLOOKUP(F21,'Sector Maquina'!$A$1:$B$9,2,0)</f>
        <v>MF Medical</v>
      </c>
    </row>
    <row r="22" spans="1:15" x14ac:dyDescent="0.25">
      <c r="A22" s="1">
        <v>21</v>
      </c>
      <c r="B22" s="63" t="s">
        <v>11</v>
      </c>
      <c r="C22" s="121" t="s">
        <v>300</v>
      </c>
      <c r="D22" s="121" t="s">
        <v>255</v>
      </c>
      <c r="E22" s="6" t="s">
        <v>221</v>
      </c>
      <c r="F22" s="30" t="str">
        <f>VLOOKUP(E22,'Asignacion Maquina'!$E$2:$F$76,2,0)</f>
        <v>Torno 3</v>
      </c>
      <c r="G22" s="62">
        <f>VLOOKUP(E22,Driver!$D$4:$AF$78,29,0)</f>
        <v>0.75</v>
      </c>
      <c r="H22" s="62">
        <f>VLOOKUP(E22,Driver!$D$4:$AH$78,31,0)</f>
        <v>8.8888888888888889E-3</v>
      </c>
      <c r="I22" s="3">
        <f>VLOOKUP('Matriz Tiempos'!E22,Driver!$D$4:$K$78,8,0)</f>
        <v>1</v>
      </c>
      <c r="J22" s="7">
        <f t="shared" si="0"/>
        <v>8.8888888888888889E-3</v>
      </c>
      <c r="K22" s="29">
        <f t="shared" si="1"/>
        <v>0.43128234617596317</v>
      </c>
      <c r="L22" s="29">
        <f t="shared" si="2"/>
        <v>1.5457777777777779E-2</v>
      </c>
      <c r="M22" s="29">
        <f t="shared" si="6"/>
        <v>0.44674012395374096</v>
      </c>
      <c r="N22" s="1">
        <f>+DemandaSector(O22,C22,'Calculo Demanda'!$E$4:$J$24)</f>
        <v>1.7390000000000001</v>
      </c>
      <c r="O22" s="1" t="str">
        <f>+VLOOKUP(F22,'Sector Maquina'!$A$1:$B$9,2,0)</f>
        <v>MF Medical</v>
      </c>
    </row>
    <row r="23" spans="1:15" x14ac:dyDescent="0.25">
      <c r="A23" s="1">
        <v>22</v>
      </c>
      <c r="B23" s="63" t="s">
        <v>11</v>
      </c>
      <c r="C23" s="121" t="s">
        <v>300</v>
      </c>
      <c r="D23" s="121" t="s">
        <v>255</v>
      </c>
      <c r="E23" s="6" t="s">
        <v>176</v>
      </c>
      <c r="F23" s="30" t="str">
        <f>VLOOKUP(E23,'Asignacion Maquina'!$E$2:$F$76,2,0)</f>
        <v>Torno 1</v>
      </c>
      <c r="G23" s="62">
        <f>VLOOKUP(E23,Driver!$D$4:$AF$78,29,0)</f>
        <v>0.83333333333333337</v>
      </c>
      <c r="H23" s="62">
        <f>VLOOKUP(E23,Driver!$D$4:$AH$78,31,0)</f>
        <v>1.7500000000000002E-2</v>
      </c>
      <c r="I23" s="3">
        <f>VLOOKUP('Matriz Tiempos'!E23,Driver!$D$4:$K$78,8,0)</f>
        <v>1</v>
      </c>
      <c r="J23" s="7">
        <f t="shared" si="0"/>
        <v>1.7500000000000002E-2</v>
      </c>
      <c r="K23" s="29">
        <f t="shared" si="1"/>
        <v>0.4792026068621813</v>
      </c>
      <c r="L23" s="29">
        <f t="shared" si="2"/>
        <v>3.0432500000000005E-2</v>
      </c>
      <c r="M23" s="29">
        <f t="shared" si="6"/>
        <v>0.50963510686218128</v>
      </c>
      <c r="N23" s="1">
        <f>+DemandaSector(O23,C23,'Calculo Demanda'!$E$4:$J$24)</f>
        <v>1.7390000000000001</v>
      </c>
      <c r="O23" s="1" t="str">
        <f>+VLOOKUP(F23,'Sector Maquina'!$A$1:$B$9,2,0)</f>
        <v>MF Medical</v>
      </c>
    </row>
    <row r="24" spans="1:15" x14ac:dyDescent="0.25">
      <c r="A24" s="1">
        <v>23</v>
      </c>
      <c r="B24" s="63" t="s">
        <v>11</v>
      </c>
      <c r="C24" s="121" t="s">
        <v>300</v>
      </c>
      <c r="D24" s="121" t="s">
        <v>255</v>
      </c>
      <c r="E24" s="6" t="s">
        <v>212</v>
      </c>
      <c r="F24" s="30" t="str">
        <f>VLOOKUP(E24,'Asignacion Maquina'!$E$2:$F$76,2,0)</f>
        <v>Torno 3</v>
      </c>
      <c r="G24" s="62">
        <f>VLOOKUP(E24,Driver!$D$4:$AF$78,29,0)</f>
        <v>1.0130555555555556</v>
      </c>
      <c r="H24" s="62">
        <f>VLOOKUP(E24,Driver!$D$4:$AH$78,31,0)</f>
        <v>3.4722222222222224E-2</v>
      </c>
      <c r="I24" s="3">
        <f>VLOOKUP('Matriz Tiempos'!E24,Driver!$D$4:$K$78,8,0)</f>
        <v>1</v>
      </c>
      <c r="J24" s="7">
        <f t="shared" si="0"/>
        <v>3.4722222222222224E-2</v>
      </c>
      <c r="K24" s="29">
        <f t="shared" si="1"/>
        <v>0.58255063574212507</v>
      </c>
      <c r="L24" s="29">
        <f t="shared" si="2"/>
        <v>6.0381944444444453E-2</v>
      </c>
      <c r="M24" s="29">
        <f t="shared" si="6"/>
        <v>0.64293258018656951</v>
      </c>
      <c r="N24" s="1">
        <f>+DemandaSector(O24,C24,'Calculo Demanda'!$E$4:$J$24)</f>
        <v>1.7390000000000001</v>
      </c>
      <c r="O24" s="1" t="str">
        <f>+VLOOKUP(F24,'Sector Maquina'!$A$1:$B$9,2,0)</f>
        <v>MF Medical</v>
      </c>
    </row>
    <row r="25" spans="1:15" x14ac:dyDescent="0.25">
      <c r="A25" s="1">
        <v>24</v>
      </c>
      <c r="B25" s="63" t="s">
        <v>11</v>
      </c>
      <c r="C25" s="121" t="s">
        <v>300</v>
      </c>
      <c r="D25" s="121" t="s">
        <v>255</v>
      </c>
      <c r="E25" s="6" t="s">
        <v>216</v>
      </c>
      <c r="F25" s="30" t="str">
        <f>VLOOKUP(E25,'Asignacion Maquina'!$E$2:$F$76,2,0)</f>
        <v>Torno 1</v>
      </c>
      <c r="G25" s="62">
        <f>VLOOKUP(E25,Driver!$D$4:$AF$78,29,0)</f>
        <v>2.8333333333333335</v>
      </c>
      <c r="H25" s="62">
        <f>VLOOKUP(E25,Driver!$D$4:$AH$78,31,0)</f>
        <v>4.1666666666666664E-2</v>
      </c>
      <c r="I25" s="3">
        <f>VLOOKUP('Matriz Tiempos'!E25,Driver!$D$4:$K$78,8,0)</f>
        <v>1</v>
      </c>
      <c r="J25" s="7">
        <f t="shared" si="0"/>
        <v>4.1666666666666664E-2</v>
      </c>
      <c r="K25" s="29">
        <f t="shared" si="1"/>
        <v>1.6292888633314164</v>
      </c>
      <c r="L25" s="29">
        <f t="shared" si="2"/>
        <v>7.2458333333333333E-2</v>
      </c>
      <c r="M25" s="29">
        <f t="shared" si="6"/>
        <v>1.7017471966647497</v>
      </c>
      <c r="N25" s="1">
        <f>+DemandaSector(O25,C25,'Calculo Demanda'!$E$4:$J$24)</f>
        <v>1.7390000000000001</v>
      </c>
      <c r="O25" s="1" t="str">
        <f>+VLOOKUP(F25,'Sector Maquina'!$A$1:$B$9,2,0)</f>
        <v>MF Medical</v>
      </c>
    </row>
    <row r="26" spans="1:15" x14ac:dyDescent="0.25">
      <c r="A26" s="1">
        <v>25</v>
      </c>
      <c r="B26" s="63" t="s">
        <v>11</v>
      </c>
      <c r="C26" s="121" t="s">
        <v>299</v>
      </c>
      <c r="D26" s="121" t="s">
        <v>254</v>
      </c>
      <c r="E26" s="6" t="s">
        <v>209</v>
      </c>
      <c r="F26" s="30" t="str">
        <f>VLOOKUP(E26,'Asignacion Maquina'!$E$2:$F$76,2,0)</f>
        <v>Torno 3</v>
      </c>
      <c r="G26" s="62">
        <f>VLOOKUP(E26,Driver!$D$4:$AF$78,29,0)</f>
        <v>1.2710683760683761</v>
      </c>
      <c r="H26" s="62">
        <f>VLOOKUP(E26,Driver!$D$4:$AH$78,31,0)</f>
        <v>1.4166666666666666E-2</v>
      </c>
      <c r="I26" s="3">
        <f>VLOOKUP('Matriz Tiempos'!E26,Driver!$D$4:$K$78,8,0)</f>
        <v>1</v>
      </c>
      <c r="J26" s="7">
        <f t="shared" si="0"/>
        <v>1.4166666666666666E-2</v>
      </c>
      <c r="K26" s="29">
        <f t="shared" si="1"/>
        <v>0.19488935542293406</v>
      </c>
      <c r="L26" s="29">
        <f t="shared" si="2"/>
        <v>9.2395000000000005E-2</v>
      </c>
      <c r="M26" s="29">
        <f t="shared" si="6"/>
        <v>0.28728435542293407</v>
      </c>
      <c r="N26" s="1">
        <f>+DemandaSector(O26,C26,'Calculo Demanda'!$E$4:$J$24)</f>
        <v>6.5220000000000002</v>
      </c>
      <c r="O26" s="1" t="str">
        <f>+VLOOKUP(F26,'Sector Maquina'!$A$1:$B$9,2,0)</f>
        <v>MF Medical</v>
      </c>
    </row>
    <row r="27" spans="1:15" x14ac:dyDescent="0.25">
      <c r="A27" s="1">
        <v>26</v>
      </c>
      <c r="B27" s="63" t="s">
        <v>11</v>
      </c>
      <c r="C27" s="121" t="s">
        <v>299</v>
      </c>
      <c r="D27" s="121" t="s">
        <v>254</v>
      </c>
      <c r="E27" s="6" t="s">
        <v>210</v>
      </c>
      <c r="F27" s="30" t="str">
        <f>VLOOKUP(E27,'Asignacion Maquina'!$E$2:$F$76,2,0)</f>
        <v>Torno 2</v>
      </c>
      <c r="G27" s="62">
        <f>VLOOKUP(E27,Driver!$D$4:$AF$78,29,0)</f>
        <v>1.2710683760683761</v>
      </c>
      <c r="H27" s="62">
        <f>VLOOKUP(E27,Driver!$D$4:$AH$78,31,0)</f>
        <v>0.11944444444444445</v>
      </c>
      <c r="I27" s="3">
        <f>VLOOKUP('Matriz Tiempos'!E27,Driver!$D$4:$K$78,8,0)</f>
        <v>1</v>
      </c>
      <c r="J27" s="7">
        <f t="shared" si="0"/>
        <v>0.11944444444444445</v>
      </c>
      <c r="K27" s="29">
        <f t="shared" si="1"/>
        <v>0.19488935542293406</v>
      </c>
      <c r="L27" s="29">
        <f t="shared" si="2"/>
        <v>0.77901666666666669</v>
      </c>
      <c r="M27" s="29">
        <f t="shared" si="6"/>
        <v>0.97390602208960075</v>
      </c>
      <c r="N27" s="1">
        <f>+DemandaSector(O27,C27,'Calculo Demanda'!$E$4:$J$24)</f>
        <v>6.5220000000000002</v>
      </c>
      <c r="O27" s="1" t="str">
        <f>+VLOOKUP(F27,'Sector Maquina'!$A$1:$B$9,2,0)</f>
        <v>MF Medical</v>
      </c>
    </row>
    <row r="28" spans="1:15" x14ac:dyDescent="0.25">
      <c r="A28" s="1">
        <v>27</v>
      </c>
      <c r="B28" s="63" t="s">
        <v>11</v>
      </c>
      <c r="C28" s="121" t="s">
        <v>299</v>
      </c>
      <c r="D28" s="121" t="s">
        <v>254</v>
      </c>
      <c r="E28" s="6" t="s">
        <v>207</v>
      </c>
      <c r="F28" s="30" t="str">
        <f>VLOOKUP(E28,'Asignacion Maquina'!$E$2:$F$76,2,0)</f>
        <v>Torno 4</v>
      </c>
      <c r="G28" s="62">
        <f>VLOOKUP(E28,Driver!$D$4:$AF$78,29,0)</f>
        <v>1.2710683760683761</v>
      </c>
      <c r="H28" s="62">
        <f>VLOOKUP(E28,Driver!$D$4:$AH$78,31,0)</f>
        <v>2.2499999999999999E-2</v>
      </c>
      <c r="I28" s="3">
        <f>VLOOKUP('Matriz Tiempos'!E28,Driver!$D$4:$K$78,8,0)</f>
        <v>1</v>
      </c>
      <c r="J28" s="7">
        <f t="shared" si="0"/>
        <v>2.2499999999999999E-2</v>
      </c>
      <c r="K28" s="29">
        <f t="shared" si="1"/>
        <v>0.19488935542293406</v>
      </c>
      <c r="L28" s="29">
        <f t="shared" si="2"/>
        <v>0.14674499999999999</v>
      </c>
      <c r="M28" s="29">
        <f t="shared" si="6"/>
        <v>0.34163435542293408</v>
      </c>
      <c r="N28" s="1">
        <f>+DemandaSector(O28,C28,'Calculo Demanda'!$E$4:$J$24)</f>
        <v>6.5220000000000002</v>
      </c>
      <c r="O28" s="1" t="str">
        <f>+VLOOKUP(F28,'Sector Maquina'!$A$1:$B$9,2,0)</f>
        <v>MF Medical</v>
      </c>
    </row>
    <row r="29" spans="1:15" x14ac:dyDescent="0.25">
      <c r="A29" s="1">
        <v>28</v>
      </c>
      <c r="B29" s="63" t="s">
        <v>11</v>
      </c>
      <c r="C29" s="121" t="s">
        <v>299</v>
      </c>
      <c r="D29" s="121" t="s">
        <v>254</v>
      </c>
      <c r="E29" s="6" t="s">
        <v>211</v>
      </c>
      <c r="F29" s="30" t="str">
        <f>VLOOKUP(E29,'Asignacion Maquina'!$E$2:$F$76,2,0)</f>
        <v>Torno 2</v>
      </c>
      <c r="G29" s="62">
        <f>VLOOKUP(E29,Driver!$D$4:$AF$78,29,0)</f>
        <v>1.2710683760683761</v>
      </c>
      <c r="H29" s="62">
        <f>VLOOKUP(E29,Driver!$D$4:$AH$78,31,0)</f>
        <v>4.4999999999999998E-2</v>
      </c>
      <c r="I29" s="3">
        <f>VLOOKUP('Matriz Tiempos'!E29,Driver!$D$4:$K$78,8,0)</f>
        <v>1</v>
      </c>
      <c r="J29" s="7">
        <f t="shared" si="0"/>
        <v>4.4999999999999998E-2</v>
      </c>
      <c r="K29" s="29">
        <f t="shared" si="1"/>
        <v>0.19488935542293406</v>
      </c>
      <c r="L29" s="29">
        <f t="shared" si="2"/>
        <v>0.29348999999999997</v>
      </c>
      <c r="M29" s="29">
        <f t="shared" si="6"/>
        <v>0.48837935542293404</v>
      </c>
      <c r="N29" s="1">
        <f>+DemandaSector(O29,C29,'Calculo Demanda'!$E$4:$J$24)</f>
        <v>6.5220000000000002</v>
      </c>
      <c r="O29" s="1" t="str">
        <f>+VLOOKUP(F29,'Sector Maquina'!$A$1:$B$9,2,0)</f>
        <v>MF Medical</v>
      </c>
    </row>
    <row r="30" spans="1:15" x14ac:dyDescent="0.25">
      <c r="A30" s="1">
        <v>29</v>
      </c>
      <c r="B30" s="63" t="s">
        <v>11</v>
      </c>
      <c r="C30" s="121" t="s">
        <v>299</v>
      </c>
      <c r="D30" s="121" t="s">
        <v>254</v>
      </c>
      <c r="E30" s="6" t="s">
        <v>206</v>
      </c>
      <c r="F30" s="30" t="str">
        <f>VLOOKUP(E30,'Asignacion Maquina'!$E$2:$F$76,2,0)</f>
        <v>Torno 3</v>
      </c>
      <c r="G30" s="62">
        <f>VLOOKUP(E30,Driver!$D$4:$AF$78,29,0)</f>
        <v>1.2710683760683761</v>
      </c>
      <c r="H30" s="62">
        <f>VLOOKUP(E30,Driver!$D$4:$AH$78,31,0)</f>
        <v>2.388888888888889E-2</v>
      </c>
      <c r="I30" s="3">
        <f>VLOOKUP('Matriz Tiempos'!E30,Driver!$D$4:$K$78,8,0)</f>
        <v>1</v>
      </c>
      <c r="J30" s="7">
        <f t="shared" si="0"/>
        <v>2.388888888888889E-2</v>
      </c>
      <c r="K30" s="29">
        <f t="shared" si="1"/>
        <v>0.19488935542293406</v>
      </c>
      <c r="L30" s="29">
        <f t="shared" si="2"/>
        <v>0.15580333333333335</v>
      </c>
      <c r="M30" s="29">
        <f t="shared" si="6"/>
        <v>0.35069268875626741</v>
      </c>
      <c r="N30" s="1">
        <f>+DemandaSector(O30,C30,'Calculo Demanda'!$E$4:$J$24)</f>
        <v>6.5220000000000002</v>
      </c>
      <c r="O30" s="1" t="str">
        <f>+VLOOKUP(F30,'Sector Maquina'!$A$1:$B$9,2,0)</f>
        <v>MF Medical</v>
      </c>
    </row>
    <row r="31" spans="1:15" x14ac:dyDescent="0.25">
      <c r="A31" s="1">
        <v>30</v>
      </c>
      <c r="B31" s="63" t="s">
        <v>11</v>
      </c>
      <c r="C31" s="121" t="s">
        <v>299</v>
      </c>
      <c r="D31" s="121" t="s">
        <v>254</v>
      </c>
      <c r="E31" s="6" t="s">
        <v>208</v>
      </c>
      <c r="F31" s="30" t="str">
        <f>VLOOKUP(E31,'Asignacion Maquina'!$E$2:$F$76,2,0)</f>
        <v>Torno 1</v>
      </c>
      <c r="G31" s="62">
        <f>VLOOKUP(E31,Driver!$D$4:$AF$78,29,0)</f>
        <v>1.2710683760683761</v>
      </c>
      <c r="H31" s="62">
        <f>VLOOKUP(E31,Driver!$D$4:$AH$78,31,0)</f>
        <v>1.3888888888888888E-2</v>
      </c>
      <c r="I31" s="3">
        <f>VLOOKUP('Matriz Tiempos'!E31,Driver!$D$4:$K$78,8,0)</f>
        <v>1</v>
      </c>
      <c r="J31" s="7">
        <f t="shared" si="0"/>
        <v>1.3888888888888888E-2</v>
      </c>
      <c r="K31" s="29">
        <f t="shared" si="1"/>
        <v>0.19488935542293406</v>
      </c>
      <c r="L31" s="29">
        <f t="shared" si="2"/>
        <v>9.0583333333333335E-2</v>
      </c>
      <c r="M31" s="29">
        <f t="shared" si="6"/>
        <v>0.28547268875626741</v>
      </c>
      <c r="N31" s="1">
        <f>+DemandaSector(O31,C31,'Calculo Demanda'!$E$4:$J$24)</f>
        <v>6.5220000000000002</v>
      </c>
      <c r="O31" s="1" t="str">
        <f>+VLOOKUP(F31,'Sector Maquina'!$A$1:$B$9,2,0)</f>
        <v>MF Medical</v>
      </c>
    </row>
    <row r="32" spans="1:15" x14ac:dyDescent="0.25">
      <c r="A32" s="1">
        <v>31</v>
      </c>
      <c r="B32" s="63" t="s">
        <v>11</v>
      </c>
      <c r="C32" s="121" t="s">
        <v>299</v>
      </c>
      <c r="D32" s="121" t="s">
        <v>254</v>
      </c>
      <c r="E32" s="6" t="s">
        <v>248</v>
      </c>
      <c r="F32" s="30" t="str">
        <f>VLOOKUP(E32,'Asignacion Maquina'!$E$2:$F$76,2,0)</f>
        <v>Torno 2</v>
      </c>
      <c r="G32" s="62">
        <f>VLOOKUP(E32,Driver!$D$4:$AF$78,29,0)</f>
        <v>1.2710683760683761</v>
      </c>
      <c r="H32" s="62">
        <f>VLOOKUP(E32,Driver!$D$4:$AH$78,31,0)</f>
        <v>2.5000000000000001E-2</v>
      </c>
      <c r="I32" s="3">
        <f>VLOOKUP('Matriz Tiempos'!E32,Driver!$D$4:$K$78,8,0)</f>
        <v>1</v>
      </c>
      <c r="J32" s="7">
        <f t="shared" si="0"/>
        <v>2.5000000000000001E-2</v>
      </c>
      <c r="K32" s="29">
        <f t="shared" si="1"/>
        <v>0.19488935542293406</v>
      </c>
      <c r="L32" s="29">
        <f t="shared" si="2"/>
        <v>0.16305000000000003</v>
      </c>
      <c r="M32" s="29">
        <f t="shared" si="6"/>
        <v>0.35793935542293409</v>
      </c>
      <c r="N32" s="1">
        <f>+DemandaSector(O32,C32,'Calculo Demanda'!$E$4:$J$24)</f>
        <v>6.5220000000000002</v>
      </c>
      <c r="O32" s="1" t="str">
        <f>+VLOOKUP(F32,'Sector Maquina'!$A$1:$B$9,2,0)</f>
        <v>MF Medical</v>
      </c>
    </row>
    <row r="33" spans="1:15" x14ac:dyDescent="0.25">
      <c r="A33" s="1">
        <v>32</v>
      </c>
      <c r="B33" s="63" t="s">
        <v>11</v>
      </c>
      <c r="C33" s="121" t="s">
        <v>298</v>
      </c>
      <c r="D33" s="121" t="s">
        <v>253</v>
      </c>
      <c r="E33" s="6" t="s">
        <v>172</v>
      </c>
      <c r="F33" s="30" t="str">
        <f>VLOOKUP(E33,'Asignacion Maquina'!$E$2:$F$76,2,0)</f>
        <v>Torno 5</v>
      </c>
      <c r="G33" s="62">
        <f>VLOOKUP(E33,Driver!$D$4:$AF$78,29,0)</f>
        <v>1.2710683760683761</v>
      </c>
      <c r="H33" s="62">
        <f>VLOOKUP(E33,Driver!$D$4:$AH$78,31,0)</f>
        <v>7.4999999999999997E-2</v>
      </c>
      <c r="I33" s="3">
        <f>VLOOKUP('Matriz Tiempos'!E33,Driver!$D$4:$K$78,8,0)</f>
        <v>1</v>
      </c>
      <c r="J33" s="7">
        <f t="shared" si="0"/>
        <v>7.4999999999999997E-2</v>
      </c>
      <c r="K33" s="29">
        <f t="shared" si="1"/>
        <v>3.4393169793770495E-2</v>
      </c>
      <c r="L33" s="29">
        <f t="shared" si="2"/>
        <v>2.7717749999999999</v>
      </c>
      <c r="M33" s="29">
        <f t="shared" si="6"/>
        <v>2.8061681697937706</v>
      </c>
      <c r="N33" s="1">
        <f>+DemandaSector(O33,C33,'Calculo Demanda'!$E$4:$J$24)</f>
        <v>36.957000000000001</v>
      </c>
      <c r="O33" s="1" t="str">
        <f>+VLOOKUP(F33,'Sector Maquina'!$A$1:$B$9,2,0)</f>
        <v>MF Medical</v>
      </c>
    </row>
    <row r="34" spans="1:15" x14ac:dyDescent="0.25">
      <c r="A34" s="1">
        <v>33</v>
      </c>
      <c r="B34" s="63" t="s">
        <v>11</v>
      </c>
      <c r="C34" s="121" t="s">
        <v>298</v>
      </c>
      <c r="D34" s="121" t="s">
        <v>253</v>
      </c>
      <c r="E34" s="6" t="s">
        <v>193</v>
      </c>
      <c r="F34" s="30" t="str">
        <f>VLOOKUP(E34,'Asignacion Maquina'!$E$2:$F$76,2,0)</f>
        <v>Torno 1</v>
      </c>
      <c r="G34" s="62">
        <f>VLOOKUP(E34,Driver!$D$4:$AF$78,29,0)</f>
        <v>1.2710683760683761</v>
      </c>
      <c r="H34" s="62">
        <f>VLOOKUP(E34,Driver!$D$4:$AH$78,31,0)</f>
        <v>1.6944444444444446E-2</v>
      </c>
      <c r="I34" s="3">
        <f>VLOOKUP('Matriz Tiempos'!E34,Driver!$D$4:$K$78,8,0)</f>
        <v>1</v>
      </c>
      <c r="J34" s="7">
        <f t="shared" si="0"/>
        <v>1.6944444444444446E-2</v>
      </c>
      <c r="K34" s="29">
        <f t="shared" si="1"/>
        <v>3.4393169793770495E-2</v>
      </c>
      <c r="L34" s="29">
        <f t="shared" si="2"/>
        <v>0.62621583333333342</v>
      </c>
      <c r="M34" s="29">
        <f t="shared" si="6"/>
        <v>0.66060900312710391</v>
      </c>
      <c r="N34" s="1">
        <f>+DemandaSector(O34,C34,'Calculo Demanda'!$E$4:$J$24)</f>
        <v>36.957000000000001</v>
      </c>
      <c r="O34" s="1" t="str">
        <f>+VLOOKUP(F34,'Sector Maquina'!$A$1:$B$9,2,0)</f>
        <v>MF Medical</v>
      </c>
    </row>
    <row r="35" spans="1:15" x14ac:dyDescent="0.25">
      <c r="A35" s="1">
        <v>34</v>
      </c>
      <c r="B35" s="63" t="s">
        <v>11</v>
      </c>
      <c r="C35" s="121" t="s">
        <v>298</v>
      </c>
      <c r="D35" s="121" t="s">
        <v>253</v>
      </c>
      <c r="E35" s="6" t="s">
        <v>166</v>
      </c>
      <c r="F35" s="30" t="str">
        <f>VLOOKUP(E35,'Asignacion Maquina'!$E$2:$F$76,2,0)</f>
        <v>Torno 6</v>
      </c>
      <c r="G35" s="62">
        <f>VLOOKUP(E35,Driver!$D$4:$AF$78,29,0)</f>
        <v>1.2710683760683761</v>
      </c>
      <c r="H35" s="62">
        <f>VLOOKUP(E35,Driver!$D$4:$AH$78,31,0)</f>
        <v>5.1388888888888887E-2</v>
      </c>
      <c r="I35" s="3">
        <f>VLOOKUP('Matriz Tiempos'!E35,Driver!$D$4:$K$78,8,0)</f>
        <v>1</v>
      </c>
      <c r="J35" s="7">
        <f t="shared" si="0"/>
        <v>5.1388888888888887E-2</v>
      </c>
      <c r="K35" s="29">
        <f t="shared" si="1"/>
        <v>3.4393169793770495E-2</v>
      </c>
      <c r="L35" s="29">
        <f t="shared" si="2"/>
        <v>1.8991791666666666</v>
      </c>
      <c r="M35" s="29">
        <f t="shared" si="6"/>
        <v>1.9335723364604371</v>
      </c>
      <c r="N35" s="1">
        <f>+DemandaSector(O35,C35,'Calculo Demanda'!$E$4:$J$24)</f>
        <v>36.957000000000001</v>
      </c>
      <c r="O35" s="1" t="str">
        <f>+VLOOKUP(F35,'Sector Maquina'!$A$1:$B$9,2,0)</f>
        <v>MF Medical</v>
      </c>
    </row>
    <row r="36" spans="1:15" x14ac:dyDescent="0.25">
      <c r="A36" s="1">
        <v>35</v>
      </c>
      <c r="B36" s="63" t="s">
        <v>11</v>
      </c>
      <c r="C36" s="121" t="s">
        <v>298</v>
      </c>
      <c r="D36" s="121" t="s">
        <v>253</v>
      </c>
      <c r="E36" s="6" t="s">
        <v>174</v>
      </c>
      <c r="F36" s="30" t="str">
        <f>VLOOKUP(E36,'Asignacion Maquina'!$E$2:$F$76,2,0)</f>
        <v>Torno 5</v>
      </c>
      <c r="G36" s="62">
        <f>VLOOKUP(E36,Driver!$D$4:$AF$78,29,0)</f>
        <v>1.2710683760683761</v>
      </c>
      <c r="H36" s="62">
        <f>VLOOKUP(E36,Driver!$D$4:$AH$78,31,0)</f>
        <v>2.2222222222222223E-2</v>
      </c>
      <c r="I36" s="3">
        <f>VLOOKUP('Matriz Tiempos'!E36,Driver!$D$4:$K$78,8,0)</f>
        <v>1</v>
      </c>
      <c r="J36" s="7">
        <f t="shared" si="0"/>
        <v>2.2222222222222223E-2</v>
      </c>
      <c r="K36" s="29">
        <f t="shared" si="1"/>
        <v>3.4393169793770495E-2</v>
      </c>
      <c r="L36" s="29">
        <f t="shared" si="2"/>
        <v>0.8212666666666667</v>
      </c>
      <c r="M36" s="29">
        <f t="shared" si="6"/>
        <v>0.8556598364604372</v>
      </c>
      <c r="N36" s="1">
        <f>+DemandaSector(O36,C36,'Calculo Demanda'!$E$4:$J$24)</f>
        <v>36.957000000000001</v>
      </c>
      <c r="O36" s="1" t="str">
        <f>+VLOOKUP(F36,'Sector Maquina'!$A$1:$B$9,2,0)</f>
        <v>MF Medical</v>
      </c>
    </row>
    <row r="37" spans="1:15" x14ac:dyDescent="0.25">
      <c r="A37" s="1">
        <v>36</v>
      </c>
      <c r="B37" s="63" t="s">
        <v>11</v>
      </c>
      <c r="C37" s="121" t="s">
        <v>298</v>
      </c>
      <c r="D37" s="121" t="s">
        <v>253</v>
      </c>
      <c r="E37" s="6" t="s">
        <v>191</v>
      </c>
      <c r="F37" s="30" t="str">
        <f>VLOOKUP(E37,'Asignacion Maquina'!$E$2:$F$76,2,0)</f>
        <v>Torno 1</v>
      </c>
      <c r="G37" s="62">
        <f>VLOOKUP(E37,Driver!$D$4:$AF$78,29,0)</f>
        <v>1.2710683760683761</v>
      </c>
      <c r="H37" s="62">
        <f>VLOOKUP(E37,Driver!$D$4:$AH$78,31,0)</f>
        <v>2.5000000000000001E-2</v>
      </c>
      <c r="I37" s="3">
        <f>VLOOKUP('Matriz Tiempos'!E37,Driver!$D$4:$K$78,8,0)</f>
        <v>1</v>
      </c>
      <c r="J37" s="7">
        <f t="shared" si="0"/>
        <v>2.5000000000000001E-2</v>
      </c>
      <c r="K37" s="29">
        <f t="shared" si="1"/>
        <v>3.4393169793770495E-2</v>
      </c>
      <c r="L37" s="29">
        <f t="shared" si="2"/>
        <v>0.92392500000000011</v>
      </c>
      <c r="M37" s="29">
        <f t="shared" si="6"/>
        <v>0.9583181697937706</v>
      </c>
      <c r="N37" s="1">
        <f>+DemandaSector(O37,C37,'Calculo Demanda'!$E$4:$J$24)</f>
        <v>36.957000000000001</v>
      </c>
      <c r="O37" s="1" t="str">
        <f>+VLOOKUP(F37,'Sector Maquina'!$A$1:$B$9,2,0)</f>
        <v>MF Medical</v>
      </c>
    </row>
    <row r="38" spans="1:15" x14ac:dyDescent="0.25">
      <c r="A38" s="1">
        <v>37</v>
      </c>
      <c r="B38" s="63" t="s">
        <v>11</v>
      </c>
      <c r="C38" s="121" t="s">
        <v>298</v>
      </c>
      <c r="D38" s="121" t="s">
        <v>253</v>
      </c>
      <c r="E38" s="6" t="s">
        <v>167</v>
      </c>
      <c r="F38" s="30" t="str">
        <f>VLOOKUP(E38,'Asignacion Maquina'!$E$2:$F$76,2,0)</f>
        <v>Torno 2</v>
      </c>
      <c r="G38" s="62">
        <f>VLOOKUP(E38,Driver!$D$4:$AF$78,29,0)</f>
        <v>1.2710683760683761</v>
      </c>
      <c r="H38" s="62">
        <f>VLOOKUP(E38,Driver!$D$4:$AH$78,31,0)</f>
        <v>5.1944444444444446E-2</v>
      </c>
      <c r="I38" s="3">
        <f>VLOOKUP('Matriz Tiempos'!E38,Driver!$D$4:$K$78,8,0)</f>
        <v>1</v>
      </c>
      <c r="J38" s="7">
        <f t="shared" si="0"/>
        <v>5.1944444444444446E-2</v>
      </c>
      <c r="K38" s="29">
        <f t="shared" si="1"/>
        <v>3.4393169793770495E-2</v>
      </c>
      <c r="L38" s="29">
        <f t="shared" si="2"/>
        <v>1.9197108333333335</v>
      </c>
      <c r="M38" s="29">
        <f t="shared" si="6"/>
        <v>1.954104003127104</v>
      </c>
      <c r="N38" s="1">
        <f>+DemandaSector(O38,C38,'Calculo Demanda'!$E$4:$J$24)</f>
        <v>36.957000000000001</v>
      </c>
      <c r="O38" s="1" t="str">
        <f>+VLOOKUP(F38,'Sector Maquina'!$A$1:$B$9,2,0)</f>
        <v>MF Medical</v>
      </c>
    </row>
    <row r="39" spans="1:15" x14ac:dyDescent="0.25">
      <c r="A39" s="1">
        <v>38</v>
      </c>
      <c r="B39" s="63" t="s">
        <v>11</v>
      </c>
      <c r="C39" s="121" t="s">
        <v>298</v>
      </c>
      <c r="D39" s="121" t="s">
        <v>253</v>
      </c>
      <c r="E39" s="6" t="s">
        <v>175</v>
      </c>
      <c r="F39" s="30" t="str">
        <f>VLOOKUP(E39,'Asignacion Maquina'!$E$2:$F$76,2,0)</f>
        <v>Torno 1</v>
      </c>
      <c r="G39" s="62">
        <f>VLOOKUP(E39,Driver!$D$4:$AF$78,29,0)</f>
        <v>1.2710683760683761</v>
      </c>
      <c r="H39" s="62">
        <f>VLOOKUP(E39,Driver!$D$4:$AH$78,31,0)</f>
        <v>4.3888888888888887E-2</v>
      </c>
      <c r="I39" s="3">
        <f>VLOOKUP('Matriz Tiempos'!E39,Driver!$D$4:$K$78,8,0)</f>
        <v>1</v>
      </c>
      <c r="J39" s="7">
        <f t="shared" si="0"/>
        <v>4.3888888888888887E-2</v>
      </c>
      <c r="K39" s="29">
        <f t="shared" si="1"/>
        <v>3.4393169793770495E-2</v>
      </c>
      <c r="L39" s="29">
        <f t="shared" si="2"/>
        <v>1.6220016666666666</v>
      </c>
      <c r="M39" s="29">
        <f t="shared" si="6"/>
        <v>1.6563948364604371</v>
      </c>
      <c r="N39" s="1">
        <f>+DemandaSector(O39,C39,'Calculo Demanda'!$E$4:$J$24)</f>
        <v>36.957000000000001</v>
      </c>
      <c r="O39" s="1" t="str">
        <f>+VLOOKUP(F39,'Sector Maquina'!$A$1:$B$9,2,0)</f>
        <v>MF Medical</v>
      </c>
    </row>
    <row r="40" spans="1:15" x14ac:dyDescent="0.25">
      <c r="A40" s="1">
        <v>39</v>
      </c>
      <c r="B40" s="63" t="s">
        <v>11</v>
      </c>
      <c r="C40" s="121" t="s">
        <v>298</v>
      </c>
      <c r="D40" s="121" t="s">
        <v>253</v>
      </c>
      <c r="E40" s="6" t="s">
        <v>178</v>
      </c>
      <c r="F40" s="30" t="str">
        <f>VLOOKUP(E40,'Asignacion Maquina'!$E$2:$F$76,2,0)</f>
        <v>Torno 6</v>
      </c>
      <c r="G40" s="62">
        <f>VLOOKUP(E40,Driver!$D$4:$AF$78,29,0)</f>
        <v>1.2710683760683761</v>
      </c>
      <c r="H40" s="62">
        <f>VLOOKUP(E40,Driver!$D$4:$AH$78,31,0)</f>
        <v>3.0555555555555555E-2</v>
      </c>
      <c r="I40" s="3">
        <f>VLOOKUP('Matriz Tiempos'!E40,Driver!$D$4:$K$78,8,0)</f>
        <v>1</v>
      </c>
      <c r="J40" s="7">
        <f t="shared" si="0"/>
        <v>3.0555555555555555E-2</v>
      </c>
      <c r="K40" s="29">
        <f t="shared" si="1"/>
        <v>3.4393169793770495E-2</v>
      </c>
      <c r="L40" s="29">
        <f t="shared" si="2"/>
        <v>1.1292416666666667</v>
      </c>
      <c r="M40" s="29">
        <f t="shared" si="6"/>
        <v>1.1636348364604372</v>
      </c>
      <c r="N40" s="1">
        <f>+DemandaSector(O40,C40,'Calculo Demanda'!$E$4:$J$24)</f>
        <v>36.957000000000001</v>
      </c>
      <c r="O40" s="1" t="str">
        <f>+VLOOKUP(F40,'Sector Maquina'!$A$1:$B$9,2,0)</f>
        <v>MF Medical</v>
      </c>
    </row>
    <row r="41" spans="1:15" x14ac:dyDescent="0.25">
      <c r="A41" s="1">
        <v>40</v>
      </c>
      <c r="B41" s="63" t="s">
        <v>11</v>
      </c>
      <c r="C41" s="121" t="s">
        <v>298</v>
      </c>
      <c r="D41" s="121" t="s">
        <v>253</v>
      </c>
      <c r="E41" s="6" t="s">
        <v>199</v>
      </c>
      <c r="F41" s="30" t="str">
        <f>VLOOKUP(E41,'Asignacion Maquina'!$E$2:$F$76,2,0)</f>
        <v>Torno 3</v>
      </c>
      <c r="G41" s="62">
        <f>VLOOKUP(E41,Driver!$D$4:$AF$78,29,0)</f>
        <v>1.2710683760683761</v>
      </c>
      <c r="H41" s="62">
        <f>VLOOKUP(E41,Driver!$D$4:$AH$78,31,0)</f>
        <v>2.3055555555555555E-2</v>
      </c>
      <c r="I41" s="3">
        <f>VLOOKUP('Matriz Tiempos'!E41,Driver!$D$4:$K$78,8,0)</f>
        <v>1</v>
      </c>
      <c r="J41" s="7">
        <f t="shared" si="0"/>
        <v>2.3055555555555555E-2</v>
      </c>
      <c r="K41" s="29">
        <f t="shared" si="1"/>
        <v>3.4393169793770495E-2</v>
      </c>
      <c r="L41" s="29">
        <f t="shared" si="2"/>
        <v>0.85206416666666662</v>
      </c>
      <c r="M41" s="29">
        <f t="shared" si="6"/>
        <v>0.88645733646043712</v>
      </c>
      <c r="N41" s="1">
        <f>+DemandaSector(O41,C41,'Calculo Demanda'!$E$4:$J$24)</f>
        <v>36.957000000000001</v>
      </c>
      <c r="O41" s="1" t="str">
        <f>+VLOOKUP(F41,'Sector Maquina'!$A$1:$B$9,2,0)</f>
        <v>MF Medical</v>
      </c>
    </row>
    <row r="42" spans="1:15" x14ac:dyDescent="0.25">
      <c r="A42" s="1">
        <v>41</v>
      </c>
      <c r="B42" s="63" t="s">
        <v>11</v>
      </c>
      <c r="C42" s="121" t="s">
        <v>298</v>
      </c>
      <c r="D42" s="121" t="s">
        <v>253</v>
      </c>
      <c r="E42" s="6" t="s">
        <v>233</v>
      </c>
      <c r="F42" s="30" t="str">
        <f>VLOOKUP(E42,'Asignacion Maquina'!$E$2:$F$76,2,0)</f>
        <v>Torno 6</v>
      </c>
      <c r="G42" s="62">
        <f>VLOOKUP(E42,Driver!$D$4:$AF$78,29,0)</f>
        <v>1.2710683760683761</v>
      </c>
      <c r="H42" s="62">
        <f>VLOOKUP(E42,Driver!$D$4:$AH$78,31,0)</f>
        <v>4.1388888888888892E-2</v>
      </c>
      <c r="I42" s="3">
        <f>VLOOKUP('Matriz Tiempos'!E42,Driver!$D$4:$K$78,8,0)</f>
        <v>1</v>
      </c>
      <c r="J42" s="7">
        <f t="shared" si="0"/>
        <v>4.1388888888888892E-2</v>
      </c>
      <c r="K42" s="29">
        <f t="shared" si="1"/>
        <v>3.4393169793770495E-2</v>
      </c>
      <c r="L42" s="29">
        <f t="shared" si="2"/>
        <v>1.5296091666666669</v>
      </c>
      <c r="M42" s="29">
        <f t="shared" si="6"/>
        <v>1.5640023364604374</v>
      </c>
      <c r="N42" s="1">
        <f>+DemandaSector(O42,C42,'Calculo Demanda'!$E$4:$J$24)</f>
        <v>36.957000000000001</v>
      </c>
      <c r="O42" s="1" t="str">
        <f>+VLOOKUP(F42,'Sector Maquina'!$A$1:$B$9,2,0)</f>
        <v>MF Medical</v>
      </c>
    </row>
    <row r="43" spans="1:15" x14ac:dyDescent="0.25">
      <c r="A43" s="1">
        <v>42</v>
      </c>
      <c r="B43" s="63" t="s">
        <v>11</v>
      </c>
      <c r="C43" s="121" t="s">
        <v>298</v>
      </c>
      <c r="D43" s="121" t="s">
        <v>253</v>
      </c>
      <c r="E43" s="6" t="s">
        <v>173</v>
      </c>
      <c r="F43" s="30" t="str">
        <f>VLOOKUP(E43,'Asignacion Maquina'!$E$2:$F$76,2,0)</f>
        <v>Torno 5</v>
      </c>
      <c r="G43" s="62">
        <f>VLOOKUP(E43,Driver!$D$4:$AF$78,29,0)</f>
        <v>1.2710683760683761</v>
      </c>
      <c r="H43" s="62">
        <f>VLOOKUP(E43,Driver!$D$4:$AH$78,31,0)</f>
        <v>4.3333333333333335E-2</v>
      </c>
      <c r="I43" s="3">
        <f>VLOOKUP('Matriz Tiempos'!E43,Driver!$D$4:$K$78,8,0)</f>
        <v>1</v>
      </c>
      <c r="J43" s="7">
        <f t="shared" si="0"/>
        <v>4.3333333333333335E-2</v>
      </c>
      <c r="K43" s="29">
        <f t="shared" si="1"/>
        <v>3.4393169793770495E-2</v>
      </c>
      <c r="L43" s="29">
        <f t="shared" si="2"/>
        <v>1.6014700000000002</v>
      </c>
      <c r="M43" s="29">
        <f t="shared" si="6"/>
        <v>1.6358631697937707</v>
      </c>
      <c r="N43" s="1">
        <f>+DemandaSector(O43,C43,'Calculo Demanda'!$E$4:$J$24)</f>
        <v>36.957000000000001</v>
      </c>
      <c r="O43" s="1" t="str">
        <f>+VLOOKUP(F43,'Sector Maquina'!$A$1:$B$9,2,0)</f>
        <v>MF Medical</v>
      </c>
    </row>
    <row r="44" spans="1:15" x14ac:dyDescent="0.25">
      <c r="A44" s="1">
        <v>43</v>
      </c>
      <c r="B44" s="63" t="s">
        <v>11</v>
      </c>
      <c r="C44" s="121" t="s">
        <v>298</v>
      </c>
      <c r="D44" s="121" t="s">
        <v>253</v>
      </c>
      <c r="E44" s="6" t="s">
        <v>171</v>
      </c>
      <c r="F44" s="30" t="str">
        <f>VLOOKUP(E44,'Asignacion Maquina'!$E$2:$F$76,2,0)</f>
        <v>Torno 3</v>
      </c>
      <c r="G44" s="62">
        <f>VLOOKUP(E44,Driver!$D$4:$AF$78,29,0)</f>
        <v>1.2710683760683761</v>
      </c>
      <c r="H44" s="62">
        <f>VLOOKUP(E44,Driver!$D$4:$AH$78,31,0)</f>
        <v>1.4166666666666666E-2</v>
      </c>
      <c r="I44" s="3">
        <f>VLOOKUP('Matriz Tiempos'!E44,Driver!$D$4:$K$78,8,0)</f>
        <v>1</v>
      </c>
      <c r="J44" s="7">
        <f t="shared" si="0"/>
        <v>1.4166666666666666E-2</v>
      </c>
      <c r="K44" s="29">
        <f t="shared" si="1"/>
        <v>3.4393169793770495E-2</v>
      </c>
      <c r="L44" s="29">
        <f t="shared" si="2"/>
        <v>0.52355750000000001</v>
      </c>
      <c r="M44" s="29">
        <f t="shared" si="6"/>
        <v>0.5579506697937705</v>
      </c>
      <c r="N44" s="1">
        <f>+DemandaSector(O44,C44,'Calculo Demanda'!$E$4:$J$24)</f>
        <v>36.957000000000001</v>
      </c>
      <c r="O44" s="1" t="str">
        <f>+VLOOKUP(F44,'Sector Maquina'!$A$1:$B$9,2,0)</f>
        <v>MF Medical</v>
      </c>
    </row>
    <row r="45" spans="1:15" x14ac:dyDescent="0.25">
      <c r="A45" s="1">
        <v>44</v>
      </c>
      <c r="B45" s="63" t="s">
        <v>11</v>
      </c>
      <c r="C45" s="121" t="s">
        <v>298</v>
      </c>
      <c r="D45" s="121" t="s">
        <v>253</v>
      </c>
      <c r="E45" s="6" t="s">
        <v>169</v>
      </c>
      <c r="F45" s="30" t="str">
        <f>VLOOKUP(E45,'Asignacion Maquina'!$E$2:$F$76,2,0)</f>
        <v>Torno 2</v>
      </c>
      <c r="G45" s="62">
        <f>VLOOKUP(E45,Driver!$D$4:$AF$78,29,0)</f>
        <v>1.2710683760683761</v>
      </c>
      <c r="H45" s="62">
        <f>VLOOKUP(E45,Driver!$D$4:$AH$78,31,0)</f>
        <v>4.611111111111111E-2</v>
      </c>
      <c r="I45" s="3">
        <f>VLOOKUP('Matriz Tiempos'!E45,Driver!$D$4:$K$78,8,0)</f>
        <v>1</v>
      </c>
      <c r="J45" s="7">
        <f t="shared" si="0"/>
        <v>4.611111111111111E-2</v>
      </c>
      <c r="K45" s="29">
        <f t="shared" si="1"/>
        <v>3.4393169793770495E-2</v>
      </c>
      <c r="L45" s="29">
        <f t="shared" si="2"/>
        <v>1.7041283333333332</v>
      </c>
      <c r="M45" s="29">
        <f t="shared" si="6"/>
        <v>1.7385215031271037</v>
      </c>
      <c r="N45" s="1">
        <f>+DemandaSector(O45,C45,'Calculo Demanda'!$E$4:$J$24)</f>
        <v>36.957000000000001</v>
      </c>
      <c r="O45" s="1" t="str">
        <f>+VLOOKUP(F45,'Sector Maquina'!$A$1:$B$9,2,0)</f>
        <v>MF Medical</v>
      </c>
    </row>
    <row r="46" spans="1:15" x14ac:dyDescent="0.25">
      <c r="A46" s="1">
        <v>45</v>
      </c>
      <c r="B46" s="63" t="s">
        <v>11</v>
      </c>
      <c r="C46" s="121" t="s">
        <v>298</v>
      </c>
      <c r="D46" s="121" t="s">
        <v>253</v>
      </c>
      <c r="E46" s="6" t="s">
        <v>194</v>
      </c>
      <c r="F46" s="30" t="str">
        <f>VLOOKUP(E46,'Asignacion Maquina'!$E$2:$F$76,2,0)</f>
        <v>Torno 5</v>
      </c>
      <c r="G46" s="62">
        <f>VLOOKUP(E46,Driver!$D$4:$AF$78,29,0)</f>
        <v>1.2710683760683761</v>
      </c>
      <c r="H46" s="62">
        <f>VLOOKUP(E46,Driver!$D$4:$AH$78,31,0)</f>
        <v>1.2500000000000001E-2</v>
      </c>
      <c r="I46" s="3">
        <f>VLOOKUP('Matriz Tiempos'!E46,Driver!$D$4:$K$78,8,0)</f>
        <v>1</v>
      </c>
      <c r="J46" s="7">
        <f t="shared" si="0"/>
        <v>1.2500000000000001E-2</v>
      </c>
      <c r="K46" s="29">
        <f t="shared" si="1"/>
        <v>3.4393169793770495E-2</v>
      </c>
      <c r="L46" s="29">
        <f t="shared" si="2"/>
        <v>0.46196250000000005</v>
      </c>
      <c r="M46" s="29">
        <f t="shared" si="6"/>
        <v>0.49635566979377055</v>
      </c>
      <c r="N46" s="1">
        <f>+DemandaSector(O46,C46,'Calculo Demanda'!$E$4:$J$24)</f>
        <v>36.957000000000001</v>
      </c>
      <c r="O46" s="1" t="str">
        <f>+VLOOKUP(F46,'Sector Maquina'!$A$1:$B$9,2,0)</f>
        <v>MF Medical</v>
      </c>
    </row>
    <row r="47" spans="1:15" x14ac:dyDescent="0.25">
      <c r="A47" s="1">
        <v>46</v>
      </c>
      <c r="B47" s="63" t="s">
        <v>11</v>
      </c>
      <c r="C47" s="121" t="s">
        <v>298</v>
      </c>
      <c r="D47" s="121" t="s">
        <v>253</v>
      </c>
      <c r="E47" s="6" t="s">
        <v>219</v>
      </c>
      <c r="F47" s="30" t="str">
        <f>VLOOKUP(E47,'Asignacion Maquina'!$E$2:$F$76,2,0)</f>
        <v>Torno 1</v>
      </c>
      <c r="G47" s="62">
        <f>VLOOKUP(E47,Driver!$D$4:$AF$78,29,0)</f>
        <v>1.2710683760683761</v>
      </c>
      <c r="H47" s="62">
        <f>VLOOKUP(E47,Driver!$D$4:$AH$78,31,0)</f>
        <v>8.9444444444444438E-2</v>
      </c>
      <c r="I47" s="3">
        <f>VLOOKUP('Matriz Tiempos'!E47,Driver!$D$4:$K$78,8,0)</f>
        <v>1</v>
      </c>
      <c r="J47" s="7">
        <f t="shared" si="0"/>
        <v>8.9444444444444438E-2</v>
      </c>
      <c r="K47" s="29">
        <f t="shared" si="1"/>
        <v>3.4393169793770495E-2</v>
      </c>
      <c r="L47" s="29">
        <f t="shared" si="2"/>
        <v>3.3055983333333332</v>
      </c>
      <c r="M47" s="29">
        <f t="shared" si="6"/>
        <v>3.3399915031271039</v>
      </c>
      <c r="N47" s="1">
        <f>+DemandaSector(O47,C47,'Calculo Demanda'!$E$4:$J$24)</f>
        <v>36.957000000000001</v>
      </c>
      <c r="O47" s="1" t="str">
        <f>+VLOOKUP(F47,'Sector Maquina'!$A$1:$B$9,2,0)</f>
        <v>MF Medical</v>
      </c>
    </row>
    <row r="48" spans="1:15" x14ac:dyDescent="0.25">
      <c r="A48" s="1">
        <v>47</v>
      </c>
      <c r="B48" s="63" t="s">
        <v>11</v>
      </c>
      <c r="C48" s="121" t="s">
        <v>298</v>
      </c>
      <c r="D48" s="121" t="s">
        <v>253</v>
      </c>
      <c r="E48" s="6" t="s">
        <v>168</v>
      </c>
      <c r="F48" s="30" t="str">
        <f>VLOOKUP(E48,'Asignacion Maquina'!$E$2:$F$76,2,0)</f>
        <v>Torno 3</v>
      </c>
      <c r="G48" s="62">
        <f>VLOOKUP(E48,Driver!$D$4:$AF$78,29,0)</f>
        <v>1.2710683760683761</v>
      </c>
      <c r="H48" s="62">
        <f>VLOOKUP(E48,Driver!$D$4:$AH$78,31,0)</f>
        <v>1.3888888888888888E-2</v>
      </c>
      <c r="I48" s="3">
        <f>VLOOKUP('Matriz Tiempos'!E48,Driver!$D$4:$K$78,8,0)</f>
        <v>1</v>
      </c>
      <c r="J48" s="7">
        <f t="shared" si="0"/>
        <v>1.3888888888888888E-2</v>
      </c>
      <c r="K48" s="29">
        <f t="shared" si="1"/>
        <v>3.4393169793770495E-2</v>
      </c>
      <c r="L48" s="29">
        <f t="shared" si="2"/>
        <v>0.5132916666666667</v>
      </c>
      <c r="M48" s="29">
        <f t="shared" si="6"/>
        <v>0.5476848364604372</v>
      </c>
      <c r="N48" s="1">
        <f>+DemandaSector(O48,C48,'Calculo Demanda'!$E$4:$J$24)</f>
        <v>36.957000000000001</v>
      </c>
      <c r="O48" s="1" t="str">
        <f>+VLOOKUP(F48,'Sector Maquina'!$A$1:$B$9,2,0)</f>
        <v>MF Medical</v>
      </c>
    </row>
    <row r="49" spans="1:15" x14ac:dyDescent="0.25">
      <c r="A49" s="1">
        <v>48</v>
      </c>
      <c r="B49" s="63" t="s">
        <v>11</v>
      </c>
      <c r="C49" s="121" t="s">
        <v>298</v>
      </c>
      <c r="D49" s="121" t="s">
        <v>253</v>
      </c>
      <c r="E49" s="6" t="s">
        <v>192</v>
      </c>
      <c r="F49" s="30" t="str">
        <f>VLOOKUP(E49,'Asignacion Maquina'!$E$2:$F$76,2,0)</f>
        <v>Torno 1</v>
      </c>
      <c r="G49" s="62">
        <f>VLOOKUP(E49,Driver!$D$4:$AF$78,29,0)</f>
        <v>1.2710683760683761</v>
      </c>
      <c r="H49" s="62">
        <f>VLOOKUP(E49,Driver!$D$4:$AH$78,31,0)</f>
        <v>1.8055555555555554E-2</v>
      </c>
      <c r="I49" s="3">
        <f>VLOOKUP('Matriz Tiempos'!E49,Driver!$D$4:$K$78,8,0)</f>
        <v>1</v>
      </c>
      <c r="J49" s="7">
        <f t="shared" si="0"/>
        <v>1.8055555555555554E-2</v>
      </c>
      <c r="K49" s="29">
        <f t="shared" si="1"/>
        <v>3.4393169793770495E-2</v>
      </c>
      <c r="L49" s="29">
        <f t="shared" si="2"/>
        <v>0.66727916666666665</v>
      </c>
      <c r="M49" s="29">
        <f t="shared" si="6"/>
        <v>0.70167233646043714</v>
      </c>
      <c r="N49" s="1">
        <f>+DemandaSector(O49,C49,'Calculo Demanda'!$E$4:$J$24)</f>
        <v>36.957000000000001</v>
      </c>
      <c r="O49" s="1" t="str">
        <f>+VLOOKUP(F49,'Sector Maquina'!$A$1:$B$9,2,0)</f>
        <v>MF Medical</v>
      </c>
    </row>
    <row r="50" spans="1:15" x14ac:dyDescent="0.25">
      <c r="A50" s="1">
        <v>49</v>
      </c>
      <c r="B50" s="63" t="s">
        <v>11</v>
      </c>
      <c r="C50" s="121" t="s">
        <v>298</v>
      </c>
      <c r="D50" s="121" t="s">
        <v>253</v>
      </c>
      <c r="E50" s="6" t="s">
        <v>195</v>
      </c>
      <c r="F50" s="30" t="str">
        <f>VLOOKUP(E50,'Asignacion Maquina'!$E$2:$F$76,2,0)</f>
        <v>Torno 1</v>
      </c>
      <c r="G50" s="62">
        <f>VLOOKUP(E50,Driver!$D$4:$AF$78,29,0)</f>
        <v>1.2710683760683761</v>
      </c>
      <c r="H50" s="62">
        <f>VLOOKUP(E50,Driver!$D$4:$AH$78,31,0)</f>
        <v>2.2222222222222223E-2</v>
      </c>
      <c r="I50" s="3">
        <f>VLOOKUP('Matriz Tiempos'!E50,Driver!$D$4:$K$78,8,0)</f>
        <v>1</v>
      </c>
      <c r="J50" s="7">
        <f t="shared" si="0"/>
        <v>2.2222222222222223E-2</v>
      </c>
      <c r="K50" s="29">
        <f t="shared" si="1"/>
        <v>3.4393169793770495E-2</v>
      </c>
      <c r="L50" s="29">
        <f t="shared" si="2"/>
        <v>0.8212666666666667</v>
      </c>
      <c r="M50" s="29">
        <f t="shared" si="6"/>
        <v>0.8556598364604372</v>
      </c>
      <c r="N50" s="1">
        <f>+DemandaSector(O50,C50,'Calculo Demanda'!$E$4:$J$24)</f>
        <v>36.957000000000001</v>
      </c>
      <c r="O50" s="1" t="str">
        <f>+VLOOKUP(F50,'Sector Maquina'!$A$1:$B$9,2,0)</f>
        <v>MF Medical</v>
      </c>
    </row>
    <row r="51" spans="1:15" x14ac:dyDescent="0.25">
      <c r="A51" s="1">
        <v>50</v>
      </c>
      <c r="B51" s="63" t="s">
        <v>11</v>
      </c>
      <c r="C51" s="121" t="s">
        <v>298</v>
      </c>
      <c r="D51" s="121" t="s">
        <v>253</v>
      </c>
      <c r="E51" s="6" t="s">
        <v>204</v>
      </c>
      <c r="F51" s="30" t="str">
        <f>VLOOKUP(E51,'Asignacion Maquina'!$E$2:$F$76,2,0)</f>
        <v>Torno 4</v>
      </c>
      <c r="G51" s="62">
        <f>VLOOKUP(E51,Driver!$D$4:$AF$78,29,0)</f>
        <v>1.2710683760683761</v>
      </c>
      <c r="H51" s="62">
        <f>VLOOKUP(E51,Driver!$D$4:$AH$78,31,0)</f>
        <v>4.8055555555555553E-2</v>
      </c>
      <c r="I51" s="3">
        <f>VLOOKUP('Matriz Tiempos'!E51,Driver!$D$4:$K$78,8,0)</f>
        <v>1</v>
      </c>
      <c r="J51" s="7">
        <f t="shared" si="0"/>
        <v>4.8055555555555553E-2</v>
      </c>
      <c r="K51" s="29">
        <f t="shared" si="1"/>
        <v>3.4393169793770495E-2</v>
      </c>
      <c r="L51" s="29">
        <f t="shared" si="2"/>
        <v>1.7759891666666665</v>
      </c>
      <c r="M51" s="29">
        <f t="shared" si="6"/>
        <v>1.810382336460437</v>
      </c>
      <c r="N51" s="1">
        <f>+DemandaSector(O51,C51,'Calculo Demanda'!$E$4:$J$24)</f>
        <v>36.957000000000001</v>
      </c>
      <c r="O51" s="1" t="str">
        <f>+VLOOKUP(F51,'Sector Maquina'!$A$1:$B$9,2,0)</f>
        <v>MF Medical</v>
      </c>
    </row>
    <row r="52" spans="1:15" x14ac:dyDescent="0.25">
      <c r="A52" s="1">
        <v>51</v>
      </c>
      <c r="B52" s="63" t="s">
        <v>11</v>
      </c>
      <c r="C52" s="121" t="s">
        <v>298</v>
      </c>
      <c r="D52" s="121" t="s">
        <v>253</v>
      </c>
      <c r="E52" s="6" t="s">
        <v>234</v>
      </c>
      <c r="F52" s="30" t="str">
        <f>VLOOKUP(E52,'Asignacion Maquina'!$E$2:$F$76,2,0)</f>
        <v>Torno 5</v>
      </c>
      <c r="G52" s="62">
        <f>VLOOKUP(E52,Driver!$D$4:$AF$78,29,0)</f>
        <v>1.2710683760683761</v>
      </c>
      <c r="H52" s="62">
        <f>VLOOKUP(E52,Driver!$D$4:$AH$78,31,0)</f>
        <v>0.10472222222222222</v>
      </c>
      <c r="I52" s="3">
        <f>VLOOKUP('Matriz Tiempos'!E52,Driver!$D$4:$K$78,8,0)</f>
        <v>1</v>
      </c>
      <c r="J52" s="7">
        <f t="shared" si="0"/>
        <v>0.10472222222222222</v>
      </c>
      <c r="K52" s="29">
        <f t="shared" si="1"/>
        <v>3.4393169793770495E-2</v>
      </c>
      <c r="L52" s="29">
        <f t="shared" si="2"/>
        <v>3.8702191666666663</v>
      </c>
      <c r="M52" s="29">
        <f t="shared" si="6"/>
        <v>3.9046123364604366</v>
      </c>
      <c r="N52" s="1">
        <f>+DemandaSector(O52,C52,'Calculo Demanda'!$E$4:$J$24)</f>
        <v>36.957000000000001</v>
      </c>
      <c r="O52" s="1" t="str">
        <f>+VLOOKUP(F52,'Sector Maquina'!$A$1:$B$9,2,0)</f>
        <v>MF Medical</v>
      </c>
    </row>
    <row r="53" spans="1:15" x14ac:dyDescent="0.25">
      <c r="A53" s="1">
        <v>52</v>
      </c>
      <c r="B53" s="63" t="s">
        <v>11</v>
      </c>
      <c r="C53" s="121" t="s">
        <v>298</v>
      </c>
      <c r="D53" s="121" t="s">
        <v>253</v>
      </c>
      <c r="E53" s="6" t="s">
        <v>235</v>
      </c>
      <c r="F53" s="30" t="str">
        <f>VLOOKUP(E53,'Asignacion Maquina'!$E$2:$F$76,2,0)</f>
        <v>Torno 3</v>
      </c>
      <c r="G53" s="62">
        <f>VLOOKUP(E53,Driver!$D$4:$AF$78,29,0)</f>
        <v>1.271068376068375</v>
      </c>
      <c r="H53" s="62">
        <f>VLOOKUP(E53,Driver!$D$4:$AH$78,31,0)</f>
        <v>5.0000000000000001E-3</v>
      </c>
      <c r="I53" s="3">
        <f>VLOOKUP('Matriz Tiempos'!E53,Driver!$D$4:$K$78,8,0)</f>
        <v>1</v>
      </c>
      <c r="J53" s="7">
        <f t="shared" si="0"/>
        <v>5.0000000000000001E-3</v>
      </c>
      <c r="K53" s="29">
        <f t="shared" si="1"/>
        <v>3.439316979377046E-2</v>
      </c>
      <c r="L53" s="29">
        <f t="shared" si="2"/>
        <v>0.184785</v>
      </c>
      <c r="M53" s="29">
        <f t="shared" si="6"/>
        <v>0.21917816979377047</v>
      </c>
      <c r="N53" s="1">
        <f>+DemandaSector(O53,C53,'Calculo Demanda'!$E$4:$J$24)</f>
        <v>36.957000000000001</v>
      </c>
      <c r="O53" s="1" t="str">
        <f>+VLOOKUP(F53,'Sector Maquina'!$A$1:$B$9,2,0)</f>
        <v>MF Medical</v>
      </c>
    </row>
    <row r="54" spans="1:15" x14ac:dyDescent="0.25">
      <c r="A54" s="1">
        <v>53</v>
      </c>
      <c r="B54" s="63" t="s">
        <v>11</v>
      </c>
      <c r="C54" s="121" t="s">
        <v>298</v>
      </c>
      <c r="D54" s="121" t="s">
        <v>253</v>
      </c>
      <c r="E54" s="6" t="s">
        <v>196</v>
      </c>
      <c r="F54" s="30" t="str">
        <f>VLOOKUP(E54,'Asignacion Maquina'!$E$2:$F$76,2,0)</f>
        <v>Torno 1</v>
      </c>
      <c r="G54" s="62">
        <f>VLOOKUP(E54,Driver!$D$4:$AF$78,29,0)</f>
        <v>0.66666666666666663</v>
      </c>
      <c r="H54" s="62">
        <f>VLOOKUP(E54,Driver!$D$4:$AH$78,31,0)</f>
        <v>3.7777777777777778E-2</v>
      </c>
      <c r="I54" s="3">
        <f>VLOOKUP('Matriz Tiempos'!E54,Driver!$D$4:$K$78,8,0)</f>
        <v>1</v>
      </c>
      <c r="J54" s="7">
        <f t="shared" si="0"/>
        <v>3.7777777777777778E-2</v>
      </c>
      <c r="K54" s="29">
        <f t="shared" si="1"/>
        <v>1.8038982240621983E-2</v>
      </c>
      <c r="L54" s="29">
        <f t="shared" si="2"/>
        <v>1.3961533333333334</v>
      </c>
      <c r="M54" s="29">
        <f t="shared" si="6"/>
        <v>1.4141923155739553</v>
      </c>
      <c r="N54" s="1">
        <f>+DemandaSector(O54,C54,'Calculo Demanda'!$E$4:$J$24)</f>
        <v>36.957000000000001</v>
      </c>
      <c r="O54" s="1" t="str">
        <f>+VLOOKUP(F54,'Sector Maquina'!$A$1:$B$9,2,0)</f>
        <v>MF Medical</v>
      </c>
    </row>
    <row r="55" spans="1:15" x14ac:dyDescent="0.25">
      <c r="A55" s="1">
        <v>54</v>
      </c>
      <c r="B55" s="63" t="s">
        <v>11</v>
      </c>
      <c r="C55" s="121" t="s">
        <v>298</v>
      </c>
      <c r="D55" s="121" t="s">
        <v>253</v>
      </c>
      <c r="E55" s="6" t="s">
        <v>181</v>
      </c>
      <c r="F55" s="30" t="str">
        <f>VLOOKUP(E55,'Asignacion Maquina'!$E$2:$F$76,2,0)</f>
        <v>Torno 4</v>
      </c>
      <c r="G55" s="62">
        <f>VLOOKUP(E55,Driver!$D$4:$AF$78,29,0)</f>
        <v>1.2710683760683761</v>
      </c>
      <c r="H55" s="62">
        <f>VLOOKUP(E55,Driver!$D$4:$AH$78,31,0)</f>
        <v>5.1944444444444446E-2</v>
      </c>
      <c r="I55" s="3">
        <f>VLOOKUP('Matriz Tiempos'!E55,Driver!$D$4:$K$78,8,0)</f>
        <v>1</v>
      </c>
      <c r="J55" s="7">
        <f t="shared" si="0"/>
        <v>5.1944444444444446E-2</v>
      </c>
      <c r="K55" s="29">
        <f t="shared" si="1"/>
        <v>3.4393169793770495E-2</v>
      </c>
      <c r="L55" s="29">
        <f t="shared" si="2"/>
        <v>1.9197108333333335</v>
      </c>
      <c r="M55" s="29">
        <f t="shared" si="6"/>
        <v>1.954104003127104</v>
      </c>
      <c r="N55" s="1">
        <f>+DemandaSector(O55,C55,'Calculo Demanda'!$E$4:$J$24)</f>
        <v>36.957000000000001</v>
      </c>
      <c r="O55" s="1" t="str">
        <f>+VLOOKUP(F55,'Sector Maquina'!$A$1:$B$9,2,0)</f>
        <v>MF Medical</v>
      </c>
    </row>
    <row r="56" spans="1:15" x14ac:dyDescent="0.25">
      <c r="A56" s="1">
        <v>55</v>
      </c>
      <c r="B56" s="63" t="s">
        <v>11</v>
      </c>
      <c r="C56" s="121" t="s">
        <v>298</v>
      </c>
      <c r="D56" s="121" t="s">
        <v>253</v>
      </c>
      <c r="E56" s="6" t="s">
        <v>246</v>
      </c>
      <c r="F56" s="30" t="str">
        <f>VLOOKUP(E56,'Asignacion Maquina'!$E$2:$F$76,2,0)</f>
        <v>Torno 3</v>
      </c>
      <c r="G56" s="62">
        <f>VLOOKUP(E56,Driver!$D$4:$AF$78,29,0)</f>
        <v>1.2710683760683761</v>
      </c>
      <c r="H56" s="62">
        <f>VLOOKUP(E56,Driver!$D$4:$AH$78,31,0)</f>
        <v>2.6944444444444444E-2</v>
      </c>
      <c r="I56" s="3">
        <f>VLOOKUP('Matriz Tiempos'!E56,Driver!$D$4:$K$78,8,0)</f>
        <v>1</v>
      </c>
      <c r="J56" s="7">
        <f t="shared" si="0"/>
        <v>2.6944444444444444E-2</v>
      </c>
      <c r="K56" s="29">
        <f t="shared" si="1"/>
        <v>3.4393169793770495E-2</v>
      </c>
      <c r="L56" s="29">
        <f t="shared" si="2"/>
        <v>0.99578583333333337</v>
      </c>
      <c r="M56" s="29">
        <f t="shared" si="6"/>
        <v>1.0301790031271039</v>
      </c>
      <c r="N56" s="1">
        <f>+DemandaSector(O56,C56,'Calculo Demanda'!$E$4:$J$24)</f>
        <v>36.957000000000001</v>
      </c>
      <c r="O56" s="1" t="str">
        <f>+VLOOKUP(F56,'Sector Maquina'!$A$1:$B$9,2,0)</f>
        <v>MF Medical</v>
      </c>
    </row>
    <row r="57" spans="1:15" x14ac:dyDescent="0.25">
      <c r="A57" s="1">
        <v>56</v>
      </c>
      <c r="B57" s="63" t="s">
        <v>11</v>
      </c>
      <c r="C57" s="121" t="s">
        <v>298</v>
      </c>
      <c r="D57" s="121" t="s">
        <v>253</v>
      </c>
      <c r="E57" s="6" t="s">
        <v>183</v>
      </c>
      <c r="F57" s="30" t="str">
        <f>VLOOKUP(E57,'Asignacion Maquina'!$E$2:$F$76,2,0)</f>
        <v>Torno 4</v>
      </c>
      <c r="G57" s="62">
        <f>VLOOKUP(E57,Driver!$D$4:$AF$78,29,0)</f>
        <v>1.2710683760683761</v>
      </c>
      <c r="H57" s="62">
        <f>VLOOKUP(E57,Driver!$D$4:$AH$78,31,0)</f>
        <v>4.4999999999999998E-2</v>
      </c>
      <c r="I57" s="3">
        <f>VLOOKUP('Matriz Tiempos'!E57,Driver!$D$4:$K$78,8,0)</f>
        <v>1</v>
      </c>
      <c r="J57" s="7">
        <f t="shared" si="0"/>
        <v>4.4999999999999998E-2</v>
      </c>
      <c r="K57" s="29">
        <f t="shared" si="1"/>
        <v>3.4393169793770495E-2</v>
      </c>
      <c r="L57" s="29">
        <f t="shared" si="2"/>
        <v>1.663065</v>
      </c>
      <c r="M57" s="29">
        <f t="shared" si="6"/>
        <v>1.6974581697937705</v>
      </c>
      <c r="N57" s="1">
        <f>+DemandaSector(O57,C57,'Calculo Demanda'!$E$4:$J$24)</f>
        <v>36.957000000000001</v>
      </c>
      <c r="O57" s="1" t="str">
        <f>+VLOOKUP(F57,'Sector Maquina'!$A$1:$B$9,2,0)</f>
        <v>MF Medical</v>
      </c>
    </row>
    <row r="58" spans="1:15" x14ac:dyDescent="0.25">
      <c r="A58" s="1">
        <v>57</v>
      </c>
      <c r="B58" s="63" t="s">
        <v>11</v>
      </c>
      <c r="C58" s="121" t="s">
        <v>298</v>
      </c>
      <c r="D58" s="121" t="s">
        <v>253</v>
      </c>
      <c r="E58" s="6" t="s">
        <v>205</v>
      </c>
      <c r="F58" s="30" t="str">
        <f>VLOOKUP(E58,'Asignacion Maquina'!$E$2:$F$76,2,0)</f>
        <v>Torno 3</v>
      </c>
      <c r="G58" s="62">
        <f>VLOOKUP(E58,Driver!$D$4:$AF$78,29,0)</f>
        <v>1.2710683760683761</v>
      </c>
      <c r="H58" s="62">
        <f>VLOOKUP(E58,Driver!$D$4:$AH$78,31,0)</f>
        <v>1.4444444444444444E-2</v>
      </c>
      <c r="I58" s="3">
        <f>VLOOKUP('Matriz Tiempos'!E58,Driver!$D$4:$K$78,8,0)</f>
        <v>1</v>
      </c>
      <c r="J58" s="7">
        <f t="shared" si="0"/>
        <v>1.4444444444444444E-2</v>
      </c>
      <c r="K58" s="29">
        <f t="shared" si="1"/>
        <v>3.4393169793770495E-2</v>
      </c>
      <c r="L58" s="29">
        <f t="shared" si="2"/>
        <v>0.53382333333333332</v>
      </c>
      <c r="M58" s="29">
        <f t="shared" si="6"/>
        <v>0.56821650312710381</v>
      </c>
      <c r="N58" s="1">
        <f>+DemandaSector(O58,C58,'Calculo Demanda'!$E$4:$J$24)</f>
        <v>36.957000000000001</v>
      </c>
      <c r="O58" s="1" t="str">
        <f>+VLOOKUP(F58,'Sector Maquina'!$A$1:$B$9,2,0)</f>
        <v>MF Medical</v>
      </c>
    </row>
    <row r="59" spans="1:15" x14ac:dyDescent="0.25">
      <c r="A59" s="1">
        <v>58</v>
      </c>
      <c r="B59" s="63" t="s">
        <v>11</v>
      </c>
      <c r="C59" s="121" t="s">
        <v>298</v>
      </c>
      <c r="D59" s="121" t="s">
        <v>253</v>
      </c>
      <c r="E59" s="6" t="s">
        <v>180</v>
      </c>
      <c r="F59" s="30" t="str">
        <f>VLOOKUP(E59,'Asignacion Maquina'!$E$2:$F$76,2,0)</f>
        <v>Torno 1</v>
      </c>
      <c r="G59" s="62">
        <f>VLOOKUP(E59,Driver!$D$4:$AF$78,29,0)</f>
        <v>1.2710683760683761</v>
      </c>
      <c r="H59" s="62">
        <f>VLOOKUP(E59,Driver!$D$4:$AH$78,31,0)</f>
        <v>9.7222222222222224E-3</v>
      </c>
      <c r="I59" s="3">
        <f>VLOOKUP('Matriz Tiempos'!E59,Driver!$D$4:$K$78,8,0)</f>
        <v>1</v>
      </c>
      <c r="J59" s="7">
        <f t="shared" si="0"/>
        <v>9.7222222222222224E-3</v>
      </c>
      <c r="K59" s="29">
        <f t="shared" si="1"/>
        <v>3.4393169793770495E-2</v>
      </c>
      <c r="L59" s="29">
        <f t="shared" si="2"/>
        <v>0.3593041666666667</v>
      </c>
      <c r="M59" s="29">
        <f t="shared" si="6"/>
        <v>0.3936973364604372</v>
      </c>
      <c r="N59" s="1">
        <f>+DemandaSector(O59,C59,'Calculo Demanda'!$E$4:$J$24)</f>
        <v>36.957000000000001</v>
      </c>
      <c r="O59" s="1" t="str">
        <f>+VLOOKUP(F59,'Sector Maquina'!$A$1:$B$9,2,0)</f>
        <v>MF Medical</v>
      </c>
    </row>
    <row r="60" spans="1:15" x14ac:dyDescent="0.25">
      <c r="A60" s="1">
        <v>59</v>
      </c>
      <c r="B60" s="63" t="s">
        <v>11</v>
      </c>
      <c r="C60" s="121" t="s">
        <v>298</v>
      </c>
      <c r="D60" s="121" t="s">
        <v>253</v>
      </c>
      <c r="E60" s="6" t="s">
        <v>190</v>
      </c>
      <c r="F60" s="30" t="str">
        <f>VLOOKUP(E60,'Asignacion Maquina'!$E$2:$F$76,2,0)</f>
        <v>Torno 1</v>
      </c>
      <c r="G60" s="62">
        <f>VLOOKUP(E60,Driver!$D$4:$AF$78,29,0)</f>
        <v>1.2710683760683761</v>
      </c>
      <c r="H60" s="62">
        <f>VLOOKUP(E60,Driver!$D$4:$AH$78,31,0)</f>
        <v>1.2500000000000001E-2</v>
      </c>
      <c r="I60" s="3">
        <f>VLOOKUP('Matriz Tiempos'!E60,Driver!$D$4:$K$78,8,0)</f>
        <v>1</v>
      </c>
      <c r="J60" s="7">
        <f t="shared" si="0"/>
        <v>1.2500000000000001E-2</v>
      </c>
      <c r="K60" s="29">
        <f t="shared" si="1"/>
        <v>3.4393169793770495E-2</v>
      </c>
      <c r="L60" s="29">
        <f t="shared" si="2"/>
        <v>0.46196250000000005</v>
      </c>
      <c r="M60" s="29">
        <f t="shared" si="6"/>
        <v>0.49635566979377055</v>
      </c>
      <c r="N60" s="1">
        <f>+DemandaSector(O60,C60,'Calculo Demanda'!$E$4:$J$24)</f>
        <v>36.957000000000001</v>
      </c>
      <c r="O60" s="1" t="str">
        <f>+VLOOKUP(F60,'Sector Maquina'!$A$1:$B$9,2,0)</f>
        <v>MF Medical</v>
      </c>
    </row>
    <row r="61" spans="1:15" x14ac:dyDescent="0.25">
      <c r="A61" s="1">
        <v>60</v>
      </c>
      <c r="B61" s="63" t="s">
        <v>11</v>
      </c>
      <c r="C61" s="121" t="s">
        <v>298</v>
      </c>
      <c r="D61" s="121" t="s">
        <v>253</v>
      </c>
      <c r="E61" s="6" t="s">
        <v>200</v>
      </c>
      <c r="F61" s="30" t="str">
        <f>VLOOKUP(E61,'Asignacion Maquina'!$E$2:$F$76,2,0)</f>
        <v>Torno 3</v>
      </c>
      <c r="G61" s="62">
        <f>VLOOKUP(E61,Driver!$D$4:$AF$78,29,0)</f>
        <v>1.2710683760683761</v>
      </c>
      <c r="H61" s="62">
        <f>VLOOKUP(E61,Driver!$D$4:$AH$78,31,0)</f>
        <v>1.1944444444444445E-2</v>
      </c>
      <c r="I61" s="3">
        <f>VLOOKUP('Matriz Tiempos'!E61,Driver!$D$4:$K$78,8,0)</f>
        <v>1</v>
      </c>
      <c r="J61" s="7">
        <f t="shared" si="0"/>
        <v>1.1944444444444445E-2</v>
      </c>
      <c r="K61" s="29">
        <f t="shared" si="1"/>
        <v>3.4393169793770495E-2</v>
      </c>
      <c r="L61" s="29">
        <f t="shared" si="2"/>
        <v>0.44143083333333338</v>
      </c>
      <c r="M61" s="29">
        <f t="shared" si="6"/>
        <v>0.47582400312710388</v>
      </c>
      <c r="N61" s="1">
        <f>+DemandaSector(O61,C61,'Calculo Demanda'!$E$4:$J$24)</f>
        <v>36.957000000000001</v>
      </c>
      <c r="O61" s="1" t="str">
        <f>+VLOOKUP(F61,'Sector Maquina'!$A$1:$B$9,2,0)</f>
        <v>MF Medical</v>
      </c>
    </row>
    <row r="62" spans="1:15" x14ac:dyDescent="0.25">
      <c r="A62" s="1">
        <v>61</v>
      </c>
      <c r="B62" s="63" t="s">
        <v>11</v>
      </c>
      <c r="C62" s="121" t="s">
        <v>298</v>
      </c>
      <c r="D62" s="121" t="s">
        <v>253</v>
      </c>
      <c r="E62" s="6" t="s">
        <v>185</v>
      </c>
      <c r="F62" s="30" t="str">
        <f>VLOOKUP(E62,'Asignacion Maquina'!$E$2:$F$76,2,0)</f>
        <v>Torno 4</v>
      </c>
      <c r="G62" s="62">
        <f>VLOOKUP(E62,Driver!$D$4:$AF$78,29,0)</f>
        <v>1.2710683760683761</v>
      </c>
      <c r="H62" s="62">
        <f>VLOOKUP(E62,Driver!$D$4:$AH$78,31,0)</f>
        <v>5.0277777777777775E-2</v>
      </c>
      <c r="I62" s="3">
        <f>VLOOKUP('Matriz Tiempos'!E62,Driver!$D$4:$K$78,8,0)</f>
        <v>1</v>
      </c>
      <c r="J62" s="7">
        <f t="shared" si="0"/>
        <v>5.0277777777777775E-2</v>
      </c>
      <c r="K62" s="29">
        <f t="shared" si="1"/>
        <v>3.4393169793770495E-2</v>
      </c>
      <c r="L62" s="29">
        <f t="shared" si="2"/>
        <v>1.8581158333333332</v>
      </c>
      <c r="M62" s="29">
        <f t="shared" si="6"/>
        <v>1.8925090031271037</v>
      </c>
      <c r="N62" s="1">
        <f>+DemandaSector(O62,C62,'Calculo Demanda'!$E$4:$J$24)</f>
        <v>36.957000000000001</v>
      </c>
      <c r="O62" s="1" t="str">
        <f>+VLOOKUP(F62,'Sector Maquina'!$A$1:$B$9,2,0)</f>
        <v>MF Medical</v>
      </c>
    </row>
    <row r="63" spans="1:15" x14ac:dyDescent="0.25">
      <c r="A63" s="1">
        <v>62</v>
      </c>
      <c r="B63" s="63" t="s">
        <v>11</v>
      </c>
      <c r="C63" s="121" t="s">
        <v>298</v>
      </c>
      <c r="D63" s="121" t="s">
        <v>253</v>
      </c>
      <c r="E63" s="6" t="s">
        <v>198</v>
      </c>
      <c r="F63" s="30" t="str">
        <f>VLOOKUP(E63,'Asignacion Maquina'!$E$2:$F$76,2,0)</f>
        <v>Torno 2</v>
      </c>
      <c r="G63" s="62">
        <f>VLOOKUP(E63,Driver!$D$4:$AF$78,29,0)</f>
        <v>1.2710683760683761</v>
      </c>
      <c r="H63" s="62">
        <f>VLOOKUP(E63,Driver!$D$4:$AH$78,31,0)</f>
        <v>1.8333333333333333E-2</v>
      </c>
      <c r="I63" s="3">
        <f>VLOOKUP('Matriz Tiempos'!E63,Driver!$D$4:$K$78,8,0)</f>
        <v>1</v>
      </c>
      <c r="J63" s="7">
        <f t="shared" si="0"/>
        <v>1.8333333333333333E-2</v>
      </c>
      <c r="K63" s="29">
        <f t="shared" si="1"/>
        <v>3.4393169793770495E-2</v>
      </c>
      <c r="L63" s="29">
        <f t="shared" si="2"/>
        <v>0.67754500000000006</v>
      </c>
      <c r="M63" s="29">
        <f t="shared" si="6"/>
        <v>0.71193816979377056</v>
      </c>
      <c r="N63" s="1">
        <f>+DemandaSector(O63,C63,'Calculo Demanda'!$E$4:$J$24)</f>
        <v>36.957000000000001</v>
      </c>
      <c r="O63" s="1" t="str">
        <f>+VLOOKUP(F63,'Sector Maquina'!$A$1:$B$9,2,0)</f>
        <v>MF Medical</v>
      </c>
    </row>
    <row r="64" spans="1:15" x14ac:dyDescent="0.25">
      <c r="A64" s="1">
        <v>63</v>
      </c>
      <c r="B64" s="63" t="s">
        <v>11</v>
      </c>
      <c r="C64" s="121" t="s">
        <v>298</v>
      </c>
      <c r="D64" s="121" t="s">
        <v>253</v>
      </c>
      <c r="E64" s="6" t="s">
        <v>203</v>
      </c>
      <c r="F64" s="30" t="str">
        <f>VLOOKUP(E64,'Asignacion Maquina'!$E$2:$F$76,2,0)</f>
        <v>Torno 3</v>
      </c>
      <c r="G64" s="62">
        <f>VLOOKUP(E64,Driver!$D$4:$AF$78,29,0)</f>
        <v>1.2710683760683761</v>
      </c>
      <c r="H64" s="62">
        <f>VLOOKUP(E64,Driver!$D$4:$AH$78,31,0)</f>
        <v>1.6666666666666666E-2</v>
      </c>
      <c r="I64" s="3">
        <f>VLOOKUP('Matriz Tiempos'!E64,Driver!$D$4:$K$78,8,0)</f>
        <v>1</v>
      </c>
      <c r="J64" s="7">
        <f t="shared" si="0"/>
        <v>1.6666666666666666E-2</v>
      </c>
      <c r="K64" s="29">
        <f t="shared" si="1"/>
        <v>3.4393169793770495E-2</v>
      </c>
      <c r="L64" s="29">
        <f t="shared" si="2"/>
        <v>0.61595</v>
      </c>
      <c r="M64" s="29">
        <f t="shared" si="6"/>
        <v>0.65034316979377049</v>
      </c>
      <c r="N64" s="1">
        <f>+DemandaSector(O64,C64,'Calculo Demanda'!$E$4:$J$24)</f>
        <v>36.957000000000001</v>
      </c>
      <c r="O64" s="1" t="str">
        <f>+VLOOKUP(F64,'Sector Maquina'!$A$1:$B$9,2,0)</f>
        <v>MF Medical</v>
      </c>
    </row>
    <row r="65" spans="1:15" x14ac:dyDescent="0.25">
      <c r="A65" s="1">
        <v>64</v>
      </c>
      <c r="B65" s="63" t="s">
        <v>11</v>
      </c>
      <c r="C65" s="121" t="s">
        <v>298</v>
      </c>
      <c r="D65" s="121" t="s">
        <v>253</v>
      </c>
      <c r="E65" s="6" t="s">
        <v>179</v>
      </c>
      <c r="F65" s="30" t="str">
        <f>VLOOKUP(E65,'Asignacion Maquina'!$E$2:$F$76,2,0)</f>
        <v>Torno 4</v>
      </c>
      <c r="G65" s="62">
        <f>VLOOKUP(E65,Driver!$D$4:$AF$78,29,0)</f>
        <v>1.75</v>
      </c>
      <c r="H65" s="62">
        <f>VLOOKUP(E65,Driver!$D$4:$AH$78,31,0)</f>
        <v>1.9722222222222221E-2</v>
      </c>
      <c r="I65" s="3">
        <f>VLOOKUP('Matriz Tiempos'!E65,Driver!$D$4:$K$78,8,0)</f>
        <v>1</v>
      </c>
      <c r="J65" s="7">
        <f t="shared" si="0"/>
        <v>1.9722222222222221E-2</v>
      </c>
      <c r="K65" s="29">
        <f t="shared" si="1"/>
        <v>4.7352328381632711E-2</v>
      </c>
      <c r="L65" s="29">
        <f t="shared" si="2"/>
        <v>0.7288741666666666</v>
      </c>
      <c r="M65" s="29">
        <f t="shared" si="6"/>
        <v>0.77622649504829933</v>
      </c>
      <c r="N65" s="1">
        <f>+DemandaSector(O65,C65,'Calculo Demanda'!$E$4:$J$24)</f>
        <v>36.957000000000001</v>
      </c>
      <c r="O65" s="1" t="str">
        <f>+VLOOKUP(F65,'Sector Maquina'!$A$1:$B$9,2,0)</f>
        <v>MF Medical</v>
      </c>
    </row>
    <row r="66" spans="1:15" x14ac:dyDescent="0.25">
      <c r="A66" s="1">
        <v>65</v>
      </c>
      <c r="B66" s="63" t="s">
        <v>11</v>
      </c>
      <c r="C66" s="121" t="s">
        <v>298</v>
      </c>
      <c r="D66" s="121" t="s">
        <v>253</v>
      </c>
      <c r="E66" s="6" t="s">
        <v>184</v>
      </c>
      <c r="F66" s="30" t="str">
        <f>VLOOKUP(E66,'Asignacion Maquina'!$E$2:$F$76,2,0)</f>
        <v>Torno 4</v>
      </c>
      <c r="G66" s="62">
        <f>VLOOKUP(E66,Driver!$D$4:$AF$78,29,0)</f>
        <v>0.16666666666666666</v>
      </c>
      <c r="H66" s="62">
        <f>VLOOKUP(E66,Driver!$D$4:$AH$78,31,0)</f>
        <v>2.5000000000000001E-2</v>
      </c>
      <c r="I66" s="3">
        <f>VLOOKUP('Matriz Tiempos'!E66,Driver!$D$4:$K$78,8,0)</f>
        <v>1</v>
      </c>
      <c r="J66" s="7">
        <f t="shared" si="0"/>
        <v>2.5000000000000001E-2</v>
      </c>
      <c r="K66" s="29">
        <f t="shared" si="1"/>
        <v>4.5097455601554957E-3</v>
      </c>
      <c r="L66" s="29">
        <f t="shared" si="2"/>
        <v>0.92392500000000011</v>
      </c>
      <c r="M66" s="29">
        <f t="shared" si="6"/>
        <v>0.92843474556015559</v>
      </c>
      <c r="N66" s="1">
        <f>+DemandaSector(O66,C66,'Calculo Demanda'!$E$4:$J$24)</f>
        <v>36.957000000000001</v>
      </c>
      <c r="O66" s="1" t="str">
        <f>+VLOOKUP(F66,'Sector Maquina'!$A$1:$B$9,2,0)</f>
        <v>MF Medical</v>
      </c>
    </row>
    <row r="67" spans="1:15" x14ac:dyDescent="0.25">
      <c r="A67" s="1">
        <v>66</v>
      </c>
      <c r="B67" s="63" t="s">
        <v>11</v>
      </c>
      <c r="C67" s="121" t="s">
        <v>298</v>
      </c>
      <c r="D67" s="121" t="s">
        <v>253</v>
      </c>
      <c r="E67" s="6" t="s">
        <v>186</v>
      </c>
      <c r="F67" s="30" t="str">
        <f>VLOOKUP(E67,'Asignacion Maquina'!$E$2:$F$76,2,0)</f>
        <v>Torno 4</v>
      </c>
      <c r="G67" s="62">
        <f>VLOOKUP(E67,Driver!$D$4:$AF$78,29,0)</f>
        <v>1.2710683760683761</v>
      </c>
      <c r="H67" s="62">
        <f>VLOOKUP(E67,Driver!$D$4:$AH$78,31,0)</f>
        <v>2.2499999999999999E-2</v>
      </c>
      <c r="I67" s="3">
        <f>VLOOKUP('Matriz Tiempos'!E67,Driver!$D$4:$K$78,8,0)</f>
        <v>1</v>
      </c>
      <c r="J67" s="7">
        <f t="shared" ref="J67:J76" si="7">H67*I67</f>
        <v>2.2499999999999999E-2</v>
      </c>
      <c r="K67" s="29">
        <f t="shared" ref="K67:K76" si="8">+G67/N67</f>
        <v>3.4393169793770495E-2</v>
      </c>
      <c r="L67" s="29">
        <f t="shared" ref="L67:L76" si="9">+J67*N67</f>
        <v>0.83153250000000001</v>
      </c>
      <c r="M67" s="29">
        <f t="shared" si="6"/>
        <v>0.8659256697937705</v>
      </c>
      <c r="N67" s="1">
        <f>+DemandaSector(O67,C67,'Calculo Demanda'!$E$4:$J$24)</f>
        <v>36.957000000000001</v>
      </c>
      <c r="O67" s="1" t="str">
        <f>+VLOOKUP(F67,'Sector Maquina'!$A$1:$B$9,2,0)</f>
        <v>MF Medical</v>
      </c>
    </row>
    <row r="68" spans="1:15" x14ac:dyDescent="0.25">
      <c r="A68" s="1">
        <v>67</v>
      </c>
      <c r="B68" s="63" t="s">
        <v>11</v>
      </c>
      <c r="C68" s="121" t="s">
        <v>298</v>
      </c>
      <c r="D68" s="121" t="s">
        <v>253</v>
      </c>
      <c r="E68" s="6" t="s">
        <v>201</v>
      </c>
      <c r="F68" s="30" t="str">
        <f>VLOOKUP(E68,'Asignacion Maquina'!$E$2:$F$76,2,0)</f>
        <v>Torno 4</v>
      </c>
      <c r="G68" s="62">
        <f>VLOOKUP(E68,Driver!$D$4:$AF$78,29,0)</f>
        <v>1</v>
      </c>
      <c r="H68" s="62">
        <f>VLOOKUP(E68,Driver!$D$4:$AH$78,31,0)</f>
        <v>1.7777777777777778E-2</v>
      </c>
      <c r="I68" s="3">
        <f>VLOOKUP('Matriz Tiempos'!E68,Driver!$D$4:$K$78,8,0)</f>
        <v>1</v>
      </c>
      <c r="J68" s="7">
        <f t="shared" si="7"/>
        <v>1.7777777777777778E-2</v>
      </c>
      <c r="K68" s="29">
        <f t="shared" si="8"/>
        <v>2.7058473360932974E-2</v>
      </c>
      <c r="L68" s="29">
        <f t="shared" si="9"/>
        <v>0.65701333333333334</v>
      </c>
      <c r="M68" s="29">
        <f t="shared" si="6"/>
        <v>0.68407180669426626</v>
      </c>
      <c r="N68" s="1">
        <f>+DemandaSector(O68,C68,'Calculo Demanda'!$E$4:$J$24)</f>
        <v>36.957000000000001</v>
      </c>
      <c r="O68" s="1" t="str">
        <f>+VLOOKUP(F68,'Sector Maquina'!$A$1:$B$9,2,0)</f>
        <v>MF Medical</v>
      </c>
    </row>
    <row r="69" spans="1:15" x14ac:dyDescent="0.25">
      <c r="A69" s="1">
        <v>68</v>
      </c>
      <c r="B69" s="63" t="s">
        <v>11</v>
      </c>
      <c r="C69" s="121" t="s">
        <v>298</v>
      </c>
      <c r="D69" s="121" t="s">
        <v>253</v>
      </c>
      <c r="E69" s="6" t="s">
        <v>189</v>
      </c>
      <c r="F69" s="30" t="str">
        <f>VLOOKUP(E69,'Asignacion Maquina'!$E$2:$F$76,2,0)</f>
        <v>Torno 1</v>
      </c>
      <c r="G69" s="62">
        <f>VLOOKUP(E69,Driver!$D$4:$AF$78,29,0)</f>
        <v>1.2710683760683761</v>
      </c>
      <c r="H69" s="62">
        <f>VLOOKUP(E69,Driver!$D$4:$AH$78,31,0)</f>
        <v>9.7222222222222224E-3</v>
      </c>
      <c r="I69" s="3">
        <f>VLOOKUP('Matriz Tiempos'!E69,Driver!$D$4:$K$78,8,0)</f>
        <v>1</v>
      </c>
      <c r="J69" s="7">
        <f t="shared" si="7"/>
        <v>9.7222222222222224E-3</v>
      </c>
      <c r="K69" s="29">
        <f t="shared" si="8"/>
        <v>3.4393169793770495E-2</v>
      </c>
      <c r="L69" s="29">
        <f t="shared" si="9"/>
        <v>0.3593041666666667</v>
      </c>
      <c r="M69" s="29">
        <f t="shared" si="6"/>
        <v>0.3936973364604372</v>
      </c>
      <c r="N69" s="1">
        <f>+DemandaSector(O69,C69,'Calculo Demanda'!$E$4:$J$24)</f>
        <v>36.957000000000001</v>
      </c>
      <c r="O69" s="1" t="str">
        <f>+VLOOKUP(F69,'Sector Maquina'!$A$1:$B$9,2,0)</f>
        <v>MF Medical</v>
      </c>
    </row>
    <row r="70" spans="1:15" x14ac:dyDescent="0.25">
      <c r="A70" s="1">
        <v>69</v>
      </c>
      <c r="B70" s="63" t="s">
        <v>11</v>
      </c>
      <c r="C70" s="121" t="s">
        <v>298</v>
      </c>
      <c r="D70" s="121" t="s">
        <v>253</v>
      </c>
      <c r="E70" s="6" t="s">
        <v>187</v>
      </c>
      <c r="F70" s="30" t="str">
        <f>VLOOKUP(E70,'Asignacion Maquina'!$E$2:$F$76,2,0)</f>
        <v>Torno 4</v>
      </c>
      <c r="G70" s="62">
        <f>VLOOKUP(E70,Driver!$D$4:$AF$78,29,0)</f>
        <v>1.2710683760683761</v>
      </c>
      <c r="H70" s="62">
        <f>VLOOKUP(E70,Driver!$D$4:$AH$78,31,0)</f>
        <v>2.6944444444444444E-2</v>
      </c>
      <c r="I70" s="3">
        <f>VLOOKUP('Matriz Tiempos'!E70,Driver!$D$4:$K$78,8,0)</f>
        <v>1</v>
      </c>
      <c r="J70" s="7">
        <f t="shared" si="7"/>
        <v>2.6944444444444444E-2</v>
      </c>
      <c r="K70" s="29">
        <f t="shared" si="8"/>
        <v>3.4393169793770495E-2</v>
      </c>
      <c r="L70" s="29">
        <f t="shared" si="9"/>
        <v>0.99578583333333337</v>
      </c>
      <c r="M70" s="29">
        <f t="shared" si="6"/>
        <v>1.0301790031271039</v>
      </c>
      <c r="N70" s="1">
        <f>+DemandaSector(O70,C70,'Calculo Demanda'!$E$4:$J$24)</f>
        <v>36.957000000000001</v>
      </c>
      <c r="O70" s="1" t="str">
        <f>+VLOOKUP(F70,'Sector Maquina'!$A$1:$B$9,2,0)</f>
        <v>MF Medical</v>
      </c>
    </row>
    <row r="71" spans="1:15" x14ac:dyDescent="0.25">
      <c r="A71" s="1">
        <v>70</v>
      </c>
      <c r="B71" s="63" t="s">
        <v>11</v>
      </c>
      <c r="C71" s="121" t="s">
        <v>298</v>
      </c>
      <c r="D71" s="121" t="s">
        <v>253</v>
      </c>
      <c r="E71" s="6" t="s">
        <v>182</v>
      </c>
      <c r="F71" s="30" t="str">
        <f>VLOOKUP(E71,'Asignacion Maquina'!$E$2:$F$76,2,0)</f>
        <v>Torno 3</v>
      </c>
      <c r="G71" s="62">
        <f>VLOOKUP(E71,Driver!$D$4:$AF$78,29,0)</f>
        <v>1.2710683760683761</v>
      </c>
      <c r="H71" s="62">
        <f>VLOOKUP(E71,Driver!$D$4:$AH$78,31,0)</f>
        <v>1.6666666666666666E-2</v>
      </c>
      <c r="I71" s="3">
        <f>VLOOKUP('Matriz Tiempos'!E71,Driver!$D$4:$K$78,8,0)</f>
        <v>1</v>
      </c>
      <c r="J71" s="7">
        <f t="shared" si="7"/>
        <v>1.6666666666666666E-2</v>
      </c>
      <c r="K71" s="29">
        <f t="shared" si="8"/>
        <v>3.4393169793770495E-2</v>
      </c>
      <c r="L71" s="29">
        <f t="shared" si="9"/>
        <v>0.61595</v>
      </c>
      <c r="M71" s="29">
        <f t="shared" si="6"/>
        <v>0.65034316979377049</v>
      </c>
      <c r="N71" s="1">
        <f>+DemandaSector(O71,C71,'Calculo Demanda'!$E$4:$J$24)</f>
        <v>36.957000000000001</v>
      </c>
      <c r="O71" s="1" t="str">
        <f>+VLOOKUP(F71,'Sector Maquina'!$A$1:$B$9,2,0)</f>
        <v>MF Medical</v>
      </c>
    </row>
    <row r="72" spans="1:15" x14ac:dyDescent="0.25">
      <c r="A72" s="1">
        <v>71</v>
      </c>
      <c r="B72" s="63" t="s">
        <v>11</v>
      </c>
      <c r="C72" s="121" t="s">
        <v>298</v>
      </c>
      <c r="D72" s="121" t="s">
        <v>253</v>
      </c>
      <c r="E72" s="6" t="s">
        <v>177</v>
      </c>
      <c r="F72" s="30" t="str">
        <f>VLOOKUP(E72,'Asignacion Maquina'!$E$2:$F$76,2,0)</f>
        <v>Torno 1</v>
      </c>
      <c r="G72" s="62">
        <f>VLOOKUP(E72,Driver!$D$4:$AF$78,29,0)</f>
        <v>1.2710683760683761</v>
      </c>
      <c r="H72" s="62">
        <f>VLOOKUP(E72,Driver!$D$4:$AH$78,31,0)</f>
        <v>1.9444444444444445E-2</v>
      </c>
      <c r="I72" s="3">
        <f>VLOOKUP('Matriz Tiempos'!E72,Driver!$D$4:$K$78,8,0)</f>
        <v>1</v>
      </c>
      <c r="J72" s="7">
        <f t="shared" si="7"/>
        <v>1.9444444444444445E-2</v>
      </c>
      <c r="K72" s="29">
        <f t="shared" si="8"/>
        <v>3.4393169793770495E-2</v>
      </c>
      <c r="L72" s="29">
        <f t="shared" si="9"/>
        <v>0.7186083333333334</v>
      </c>
      <c r="M72" s="29">
        <f t="shared" si="6"/>
        <v>0.7530015031271039</v>
      </c>
      <c r="N72" s="1">
        <f>+DemandaSector(O72,C72,'Calculo Demanda'!$E$4:$J$24)</f>
        <v>36.957000000000001</v>
      </c>
      <c r="O72" s="1" t="str">
        <f>+VLOOKUP(F72,'Sector Maquina'!$A$1:$B$9,2,0)</f>
        <v>MF Medical</v>
      </c>
    </row>
    <row r="73" spans="1:15" x14ac:dyDescent="0.25">
      <c r="A73" s="1">
        <v>72</v>
      </c>
      <c r="B73" s="63" t="s">
        <v>11</v>
      </c>
      <c r="C73" s="121" t="s">
        <v>298</v>
      </c>
      <c r="D73" s="121" t="s">
        <v>253</v>
      </c>
      <c r="E73" s="6" t="s">
        <v>188</v>
      </c>
      <c r="F73" s="30" t="str">
        <f>VLOOKUP(E73,'Asignacion Maquina'!$E$2:$F$76,2,0)</f>
        <v>Torno 4</v>
      </c>
      <c r="G73" s="62">
        <f>VLOOKUP(E73,Driver!$D$4:$AF$78,29,0)</f>
        <v>1.2710683760683761</v>
      </c>
      <c r="H73" s="62">
        <f>VLOOKUP(E73,Driver!$D$4:$AH$78,31,0)</f>
        <v>2.75E-2</v>
      </c>
      <c r="I73" s="3">
        <f>VLOOKUP('Matriz Tiempos'!E73,Driver!$D$4:$K$78,8,0)</f>
        <v>1</v>
      </c>
      <c r="J73" s="7">
        <f t="shared" si="7"/>
        <v>2.75E-2</v>
      </c>
      <c r="K73" s="29">
        <f t="shared" si="8"/>
        <v>3.4393169793770495E-2</v>
      </c>
      <c r="L73" s="29">
        <f t="shared" si="9"/>
        <v>1.0163175</v>
      </c>
      <c r="M73" s="29">
        <f t="shared" si="6"/>
        <v>1.0507106697937705</v>
      </c>
      <c r="N73" s="1">
        <f>+DemandaSector(O73,C73,'Calculo Demanda'!$E$4:$J$24)</f>
        <v>36.957000000000001</v>
      </c>
      <c r="O73" s="1" t="str">
        <f>+VLOOKUP(F73,'Sector Maquina'!$A$1:$B$9,2,0)</f>
        <v>MF Medical</v>
      </c>
    </row>
    <row r="74" spans="1:15" x14ac:dyDescent="0.25">
      <c r="A74" s="1">
        <v>73</v>
      </c>
      <c r="B74" s="63" t="s">
        <v>11</v>
      </c>
      <c r="C74" s="121" t="s">
        <v>298</v>
      </c>
      <c r="D74" s="121" t="s">
        <v>253</v>
      </c>
      <c r="E74" s="6" t="s">
        <v>170</v>
      </c>
      <c r="F74" s="30" t="str">
        <f>VLOOKUP(E74,'Asignacion Maquina'!$E$2:$F$76,2,0)</f>
        <v>Torno 3</v>
      </c>
      <c r="G74" s="62">
        <f>VLOOKUP(E74,Driver!$D$4:$AF$78,29,0)</f>
        <v>1.2710683760683761</v>
      </c>
      <c r="H74" s="62">
        <f>VLOOKUP(E74,Driver!$D$4:$AH$78,31,0)</f>
        <v>1.1111111111111112E-2</v>
      </c>
      <c r="I74" s="3">
        <f>VLOOKUP('Matriz Tiempos'!E74,Driver!$D$4:$K$78,8,0)</f>
        <v>1</v>
      </c>
      <c r="J74" s="7">
        <f t="shared" si="7"/>
        <v>1.1111111111111112E-2</v>
      </c>
      <c r="K74" s="29">
        <f t="shared" si="8"/>
        <v>3.4393169793770495E-2</v>
      </c>
      <c r="L74" s="29">
        <f t="shared" si="9"/>
        <v>0.41063333333333335</v>
      </c>
      <c r="M74" s="29">
        <f t="shared" ref="M74:M76" si="10">IFERROR(SUM(K74:L74),0)</f>
        <v>0.44502650312710385</v>
      </c>
      <c r="N74" s="1">
        <f>+DemandaSector(O74,C74,'Calculo Demanda'!$E$4:$J$24)</f>
        <v>36.957000000000001</v>
      </c>
      <c r="O74" s="1" t="str">
        <f>+VLOOKUP(F74,'Sector Maquina'!$A$1:$B$9,2,0)</f>
        <v>MF Medical</v>
      </c>
    </row>
    <row r="75" spans="1:15" x14ac:dyDescent="0.25">
      <c r="A75" s="1">
        <v>74</v>
      </c>
      <c r="B75" s="63" t="s">
        <v>11</v>
      </c>
      <c r="C75" s="121" t="s">
        <v>298</v>
      </c>
      <c r="D75" s="121" t="s">
        <v>253</v>
      </c>
      <c r="E75" s="6" t="s">
        <v>197</v>
      </c>
      <c r="F75" s="30" t="str">
        <f>VLOOKUP(E75,'Asignacion Maquina'!$E$2:$F$76,2,0)</f>
        <v>Torno 1</v>
      </c>
      <c r="G75" s="62">
        <f>VLOOKUP(E75,Driver!$D$4:$AF$78,29,0)</f>
        <v>1.2710683760683761</v>
      </c>
      <c r="H75" s="62">
        <f>VLOOKUP(E75,Driver!$D$4:$AH$78,31,0)</f>
        <v>1.8055555555555554E-2</v>
      </c>
      <c r="I75" s="3">
        <f>VLOOKUP('Matriz Tiempos'!E75,Driver!$D$4:$K$78,8,0)</f>
        <v>1</v>
      </c>
      <c r="J75" s="7">
        <f t="shared" si="7"/>
        <v>1.8055555555555554E-2</v>
      </c>
      <c r="K75" s="29">
        <f t="shared" si="8"/>
        <v>3.4393169793770495E-2</v>
      </c>
      <c r="L75" s="29">
        <f t="shared" si="9"/>
        <v>0.66727916666666665</v>
      </c>
      <c r="M75" s="29">
        <f t="shared" si="10"/>
        <v>0.70167233646043714</v>
      </c>
      <c r="N75" s="1">
        <f>+DemandaSector(O75,C75,'Calculo Demanda'!$E$4:$J$24)</f>
        <v>36.957000000000001</v>
      </c>
      <c r="O75" s="1" t="str">
        <f>+VLOOKUP(F75,'Sector Maquina'!$A$1:$B$9,2,0)</f>
        <v>MF Medical</v>
      </c>
    </row>
    <row r="76" spans="1:15" x14ac:dyDescent="0.25">
      <c r="A76" s="1">
        <v>75</v>
      </c>
      <c r="B76" s="63" t="s">
        <v>11</v>
      </c>
      <c r="C76" s="121" t="s">
        <v>298</v>
      </c>
      <c r="D76" s="121" t="s">
        <v>253</v>
      </c>
      <c r="E76" s="6" t="s">
        <v>202</v>
      </c>
      <c r="F76" s="30" t="str">
        <f>VLOOKUP(E76,'Asignacion Maquina'!$E$2:$F$76,2,0)</f>
        <v>Torno 2</v>
      </c>
      <c r="G76" s="62">
        <f>VLOOKUP(E76,Driver!$D$4:$AF$78,29,0)</f>
        <v>1</v>
      </c>
      <c r="H76" s="62">
        <f>VLOOKUP(E76,Driver!$D$4:$AH$78,31,0)</f>
        <v>9.8888888888888887E-2</v>
      </c>
      <c r="I76" s="3">
        <f>VLOOKUP('Matriz Tiempos'!E76,Driver!$D$4:$K$78,8,0)</f>
        <v>1</v>
      </c>
      <c r="J76" s="7">
        <f t="shared" si="7"/>
        <v>9.8888888888888887E-2</v>
      </c>
      <c r="K76" s="29">
        <f t="shared" si="8"/>
        <v>2.7058473360932974E-2</v>
      </c>
      <c r="L76" s="29">
        <f t="shared" si="9"/>
        <v>3.6546366666666668</v>
      </c>
      <c r="M76" s="29">
        <f t="shared" si="10"/>
        <v>3.6816951400275997</v>
      </c>
      <c r="N76" s="1">
        <f>+DemandaSector(O76,C76,'Calculo Demanda'!$E$4:$J$24)</f>
        <v>36.957000000000001</v>
      </c>
      <c r="O76" s="1" t="str">
        <f>+VLOOKUP(F76,'Sector Maquina'!$A$1:$B$9,2,0)</f>
        <v>MF Medical</v>
      </c>
    </row>
  </sheetData>
  <autoFilter ref="B1:M76"/>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76"/>
  <sheetViews>
    <sheetView topLeftCell="A4" zoomScale="66" zoomScaleNormal="66" workbookViewId="0">
      <selection activeCell="Q7" sqref="Q7"/>
    </sheetView>
  </sheetViews>
  <sheetFormatPr defaultColWidth="11.42578125" defaultRowHeight="15" x14ac:dyDescent="0.25"/>
  <cols>
    <col min="2" max="2" width="13.5703125" bestFit="1" customWidth="1"/>
    <col min="3" max="4" width="23.28515625" bestFit="1" customWidth="1"/>
    <col min="5" max="5" width="21.140625" bestFit="1" customWidth="1"/>
    <col min="6" max="6" width="14.42578125" bestFit="1" customWidth="1"/>
    <col min="13" max="13" width="16.5703125" bestFit="1" customWidth="1"/>
    <col min="14" max="14" width="17" bestFit="1" customWidth="1"/>
  </cols>
  <sheetData>
    <row r="1" spans="1:14" x14ac:dyDescent="0.25">
      <c r="A1" s="8" t="s">
        <v>164</v>
      </c>
      <c r="B1" s="8" t="s">
        <v>6</v>
      </c>
      <c r="C1" s="8" t="s">
        <v>238</v>
      </c>
      <c r="D1" s="8"/>
      <c r="E1" s="8" t="s">
        <v>236</v>
      </c>
      <c r="F1" s="8" t="s">
        <v>240</v>
      </c>
      <c r="G1" s="8" t="s">
        <v>157</v>
      </c>
      <c r="H1" s="8" t="s">
        <v>158</v>
      </c>
      <c r="I1" s="8" t="s">
        <v>159</v>
      </c>
      <c r="J1" s="8" t="s">
        <v>160</v>
      </c>
      <c r="K1" s="8" t="s">
        <v>161</v>
      </c>
      <c r="L1" s="8" t="s">
        <v>162</v>
      </c>
      <c r="M1" s="122" t="s">
        <v>272</v>
      </c>
      <c r="N1" s="122" t="s">
        <v>273</v>
      </c>
    </row>
    <row r="2" spans="1:14" x14ac:dyDescent="0.25">
      <c r="A2" s="1">
        <v>1</v>
      </c>
      <c r="B2" s="1" t="s">
        <v>11</v>
      </c>
      <c r="C2" s="121" t="s">
        <v>301</v>
      </c>
      <c r="D2" s="121" t="s">
        <v>256</v>
      </c>
      <c r="E2" s="6" t="s">
        <v>231</v>
      </c>
      <c r="F2" s="30" t="s">
        <v>160</v>
      </c>
      <c r="G2" s="34"/>
      <c r="H2" s="34"/>
      <c r="I2" s="34" t="s">
        <v>237</v>
      </c>
      <c r="J2" s="34" t="s">
        <v>237</v>
      </c>
      <c r="K2" s="34"/>
      <c r="L2" s="34"/>
      <c r="M2" s="1"/>
      <c r="N2" s="1"/>
    </row>
    <row r="3" spans="1:14" x14ac:dyDescent="0.25">
      <c r="A3" s="1">
        <v>2</v>
      </c>
      <c r="B3" s="1" t="s">
        <v>11</v>
      </c>
      <c r="C3" s="121" t="s">
        <v>301</v>
      </c>
      <c r="D3" s="121" t="s">
        <v>256</v>
      </c>
      <c r="E3" s="6" t="s">
        <v>229</v>
      </c>
      <c r="F3" s="30" t="s">
        <v>162</v>
      </c>
      <c r="G3" s="34"/>
      <c r="H3" s="34" t="s">
        <v>237</v>
      </c>
      <c r="I3" s="34"/>
      <c r="J3" s="34"/>
      <c r="K3" s="34" t="s">
        <v>237</v>
      </c>
      <c r="L3" s="34" t="s">
        <v>237</v>
      </c>
      <c r="M3" s="1"/>
      <c r="N3" s="1"/>
    </row>
    <row r="4" spans="1:14" x14ac:dyDescent="0.25">
      <c r="A4" s="1">
        <v>3</v>
      </c>
      <c r="B4" s="1" t="s">
        <v>11</v>
      </c>
      <c r="C4" s="121" t="s">
        <v>301</v>
      </c>
      <c r="D4" s="121" t="s">
        <v>256</v>
      </c>
      <c r="E4" s="3" t="s">
        <v>232</v>
      </c>
      <c r="F4" s="27" t="s">
        <v>162</v>
      </c>
      <c r="G4" s="34"/>
      <c r="H4" s="34"/>
      <c r="I4" s="34"/>
      <c r="J4" s="34"/>
      <c r="K4" s="34"/>
      <c r="L4" s="34" t="s">
        <v>237</v>
      </c>
      <c r="M4" s="1"/>
      <c r="N4" s="1"/>
    </row>
    <row r="5" spans="1:14" x14ac:dyDescent="0.25">
      <c r="A5" s="1">
        <v>4</v>
      </c>
      <c r="B5" s="1" t="s">
        <v>11</v>
      </c>
      <c r="C5" s="121" t="s">
        <v>301</v>
      </c>
      <c r="D5" s="121" t="s">
        <v>256</v>
      </c>
      <c r="E5" s="6" t="s">
        <v>228</v>
      </c>
      <c r="F5" s="30" t="s">
        <v>158</v>
      </c>
      <c r="G5" s="34"/>
      <c r="H5" s="34" t="s">
        <v>237</v>
      </c>
      <c r="I5" s="34" t="s">
        <v>237</v>
      </c>
      <c r="J5" s="34" t="s">
        <v>237</v>
      </c>
      <c r="K5" s="34"/>
      <c r="L5" s="34" t="s">
        <v>237</v>
      </c>
      <c r="M5" s="1"/>
      <c r="N5" s="1"/>
    </row>
    <row r="6" spans="1:14" x14ac:dyDescent="0.25">
      <c r="A6" s="1">
        <v>5</v>
      </c>
      <c r="B6" s="1" t="s">
        <v>11</v>
      </c>
      <c r="C6" s="121" t="s">
        <v>301</v>
      </c>
      <c r="D6" s="121" t="s">
        <v>256</v>
      </c>
      <c r="E6" s="6" t="s">
        <v>244</v>
      </c>
      <c r="F6" s="30" t="s">
        <v>160</v>
      </c>
      <c r="G6" s="34"/>
      <c r="H6" s="34"/>
      <c r="I6" s="34"/>
      <c r="J6" s="34" t="s">
        <v>237</v>
      </c>
      <c r="K6" s="34"/>
      <c r="L6" s="34"/>
      <c r="M6" s="1"/>
      <c r="N6" s="1"/>
    </row>
    <row r="7" spans="1:14" x14ac:dyDescent="0.25">
      <c r="A7" s="1">
        <v>6</v>
      </c>
      <c r="B7" s="1" t="s">
        <v>11</v>
      </c>
      <c r="C7" s="121" t="s">
        <v>301</v>
      </c>
      <c r="D7" s="121" t="s">
        <v>256</v>
      </c>
      <c r="E7" s="6" t="s">
        <v>230</v>
      </c>
      <c r="F7" s="30" t="s">
        <v>159</v>
      </c>
      <c r="G7" s="34"/>
      <c r="H7" s="34" t="s">
        <v>237</v>
      </c>
      <c r="I7" s="34" t="s">
        <v>237</v>
      </c>
      <c r="J7" s="34"/>
      <c r="K7" s="34" t="s">
        <v>237</v>
      </c>
      <c r="L7" s="34"/>
      <c r="M7" s="1"/>
      <c r="N7" s="1"/>
    </row>
    <row r="8" spans="1:14" x14ac:dyDescent="0.25">
      <c r="A8" s="1">
        <v>7</v>
      </c>
      <c r="B8" s="1" t="s">
        <v>11</v>
      </c>
      <c r="C8" s="121" t="s">
        <v>300</v>
      </c>
      <c r="D8" s="121" t="s">
        <v>255</v>
      </c>
      <c r="E8" s="6" t="s">
        <v>245</v>
      </c>
      <c r="F8" s="30" t="s">
        <v>160</v>
      </c>
      <c r="G8" s="34"/>
      <c r="H8" s="34"/>
      <c r="I8" s="34"/>
      <c r="J8" s="34" t="s">
        <v>237</v>
      </c>
      <c r="K8" s="34"/>
      <c r="L8" s="34"/>
      <c r="M8" s="1"/>
      <c r="N8" s="1"/>
    </row>
    <row r="9" spans="1:14" x14ac:dyDescent="0.25">
      <c r="A9" s="1">
        <v>8</v>
      </c>
      <c r="B9" s="1" t="s">
        <v>11</v>
      </c>
      <c r="C9" s="121" t="s">
        <v>300</v>
      </c>
      <c r="D9" s="121" t="s">
        <v>255</v>
      </c>
      <c r="E9" s="6" t="s">
        <v>222</v>
      </c>
      <c r="F9" s="27" t="s">
        <v>158</v>
      </c>
      <c r="G9" s="34"/>
      <c r="H9" s="34" t="s">
        <v>237</v>
      </c>
      <c r="I9" s="34"/>
      <c r="J9" s="34"/>
      <c r="K9" s="34" t="s">
        <v>237</v>
      </c>
      <c r="L9" s="34"/>
      <c r="M9" s="1"/>
      <c r="N9" s="1"/>
    </row>
    <row r="10" spans="1:14" x14ac:dyDescent="0.25">
      <c r="A10" s="1">
        <v>9</v>
      </c>
      <c r="B10" s="1" t="s">
        <v>11</v>
      </c>
      <c r="C10" s="121" t="s">
        <v>300</v>
      </c>
      <c r="D10" s="121" t="s">
        <v>255</v>
      </c>
      <c r="E10" s="6" t="s">
        <v>213</v>
      </c>
      <c r="F10" s="27" t="s">
        <v>158</v>
      </c>
      <c r="G10" s="34"/>
      <c r="H10" s="34" t="s">
        <v>237</v>
      </c>
      <c r="I10" s="34" t="s">
        <v>237</v>
      </c>
      <c r="J10" s="34"/>
      <c r="K10" s="34" t="s">
        <v>237</v>
      </c>
      <c r="L10" s="34"/>
      <c r="M10" s="1"/>
      <c r="N10" s="1"/>
    </row>
    <row r="11" spans="1:14" x14ac:dyDescent="0.25">
      <c r="A11" s="1">
        <v>10</v>
      </c>
      <c r="B11" s="1" t="s">
        <v>11</v>
      </c>
      <c r="C11" s="121" t="s">
        <v>300</v>
      </c>
      <c r="D11" s="121" t="s">
        <v>255</v>
      </c>
      <c r="E11" s="6" t="s">
        <v>218</v>
      </c>
      <c r="F11" s="30" t="s">
        <v>160</v>
      </c>
      <c r="G11" s="34"/>
      <c r="H11" s="34"/>
      <c r="I11" s="34" t="s">
        <v>237</v>
      </c>
      <c r="J11" s="34" t="s">
        <v>237</v>
      </c>
      <c r="K11" s="34" t="s">
        <v>237</v>
      </c>
      <c r="L11" s="34"/>
      <c r="M11" s="1"/>
      <c r="N11" s="1"/>
    </row>
    <row r="12" spans="1:14" x14ac:dyDescent="0.25">
      <c r="A12" s="1">
        <v>11</v>
      </c>
      <c r="B12" s="1" t="s">
        <v>11</v>
      </c>
      <c r="C12" s="121" t="s">
        <v>300</v>
      </c>
      <c r="D12" s="121" t="s">
        <v>255</v>
      </c>
      <c r="E12" s="6" t="s">
        <v>220</v>
      </c>
      <c r="F12" s="27" t="s">
        <v>159</v>
      </c>
      <c r="G12" s="34"/>
      <c r="H12" s="34" t="s">
        <v>237</v>
      </c>
      <c r="I12" s="34" t="s">
        <v>237</v>
      </c>
      <c r="J12" s="34"/>
      <c r="K12" s="34"/>
      <c r="L12" s="34" t="s">
        <v>237</v>
      </c>
      <c r="M12" s="1"/>
      <c r="N12" s="1"/>
    </row>
    <row r="13" spans="1:14" x14ac:dyDescent="0.25">
      <c r="A13" s="1">
        <v>12</v>
      </c>
      <c r="B13" s="1" t="s">
        <v>11</v>
      </c>
      <c r="C13" s="121" t="s">
        <v>300</v>
      </c>
      <c r="D13" s="121" t="s">
        <v>255</v>
      </c>
      <c r="E13" s="6" t="s">
        <v>215</v>
      </c>
      <c r="F13" s="30" t="s">
        <v>157</v>
      </c>
      <c r="G13" s="34" t="s">
        <v>237</v>
      </c>
      <c r="H13" s="34"/>
      <c r="I13" s="34"/>
      <c r="J13" s="34"/>
      <c r="K13" s="34" t="s">
        <v>237</v>
      </c>
      <c r="L13" s="34"/>
      <c r="M13" s="1"/>
      <c r="N13" s="1"/>
    </row>
    <row r="14" spans="1:14" x14ac:dyDescent="0.25">
      <c r="A14" s="1">
        <v>13</v>
      </c>
      <c r="B14" s="1" t="s">
        <v>11</v>
      </c>
      <c r="C14" s="121" t="s">
        <v>300</v>
      </c>
      <c r="D14" s="121" t="s">
        <v>255</v>
      </c>
      <c r="E14" s="6" t="s">
        <v>227</v>
      </c>
      <c r="F14" s="30" t="s">
        <v>160</v>
      </c>
      <c r="G14" s="34" t="s">
        <v>237</v>
      </c>
      <c r="H14" s="34"/>
      <c r="I14" s="34"/>
      <c r="J14" s="34" t="s">
        <v>237</v>
      </c>
      <c r="K14" s="34"/>
      <c r="L14" s="34"/>
      <c r="M14" s="1"/>
      <c r="N14" s="1"/>
    </row>
    <row r="15" spans="1:14" x14ac:dyDescent="0.25">
      <c r="A15" s="1">
        <v>14</v>
      </c>
      <c r="B15" s="1" t="s">
        <v>11</v>
      </c>
      <c r="C15" s="121" t="s">
        <v>300</v>
      </c>
      <c r="D15" s="121" t="s">
        <v>255</v>
      </c>
      <c r="E15" s="6" t="s">
        <v>214</v>
      </c>
      <c r="F15" s="30" t="s">
        <v>158</v>
      </c>
      <c r="G15" s="34" t="s">
        <v>237</v>
      </c>
      <c r="H15" s="34" t="s">
        <v>237</v>
      </c>
      <c r="I15" s="34"/>
      <c r="J15" s="34"/>
      <c r="K15" s="34"/>
      <c r="L15" s="34" t="s">
        <v>237</v>
      </c>
      <c r="M15" s="1"/>
      <c r="N15" s="1"/>
    </row>
    <row r="16" spans="1:14" x14ac:dyDescent="0.25">
      <c r="A16" s="1">
        <v>15</v>
      </c>
      <c r="B16" s="1" t="s">
        <v>11</v>
      </c>
      <c r="C16" s="121" t="s">
        <v>300</v>
      </c>
      <c r="D16" s="121" t="s">
        <v>255</v>
      </c>
      <c r="E16" s="6" t="s">
        <v>224</v>
      </c>
      <c r="F16" s="30" t="s">
        <v>162</v>
      </c>
      <c r="G16" s="34"/>
      <c r="H16" s="34"/>
      <c r="I16" s="34"/>
      <c r="J16" s="34"/>
      <c r="K16" s="34" t="s">
        <v>237</v>
      </c>
      <c r="L16" s="34" t="s">
        <v>237</v>
      </c>
      <c r="M16" s="1"/>
      <c r="N16" s="1"/>
    </row>
    <row r="17" spans="1:14" x14ac:dyDescent="0.25">
      <c r="A17" s="1">
        <v>16</v>
      </c>
      <c r="B17" s="1" t="s">
        <v>11</v>
      </c>
      <c r="C17" s="121" t="s">
        <v>300</v>
      </c>
      <c r="D17" s="121" t="s">
        <v>255</v>
      </c>
      <c r="E17" s="6" t="s">
        <v>225</v>
      </c>
      <c r="F17" s="30" t="s">
        <v>161</v>
      </c>
      <c r="G17" s="34"/>
      <c r="H17" s="34" t="s">
        <v>237</v>
      </c>
      <c r="I17" s="34" t="s">
        <v>237</v>
      </c>
      <c r="J17" s="34"/>
      <c r="K17" s="34" t="s">
        <v>237</v>
      </c>
      <c r="L17" s="34"/>
      <c r="M17" s="1"/>
      <c r="N17" s="1"/>
    </row>
    <row r="18" spans="1:14" x14ac:dyDescent="0.25">
      <c r="A18" s="1">
        <v>17</v>
      </c>
      <c r="B18" s="1" t="s">
        <v>11</v>
      </c>
      <c r="C18" s="121" t="s">
        <v>300</v>
      </c>
      <c r="D18" s="121" t="s">
        <v>255</v>
      </c>
      <c r="E18" s="6" t="s">
        <v>226</v>
      </c>
      <c r="F18" s="27" t="s">
        <v>157</v>
      </c>
      <c r="G18" s="34" t="s">
        <v>237</v>
      </c>
      <c r="H18" s="34"/>
      <c r="I18" s="34"/>
      <c r="J18" s="34" t="s">
        <v>237</v>
      </c>
      <c r="K18" s="34"/>
      <c r="L18" s="34"/>
      <c r="M18" s="1"/>
      <c r="N18" s="1"/>
    </row>
    <row r="19" spans="1:14" x14ac:dyDescent="0.25">
      <c r="A19" s="1">
        <v>18</v>
      </c>
      <c r="B19" s="1" t="s">
        <v>11</v>
      </c>
      <c r="C19" s="121" t="s">
        <v>300</v>
      </c>
      <c r="D19" s="121" t="s">
        <v>255</v>
      </c>
      <c r="E19" s="6" t="s">
        <v>247</v>
      </c>
      <c r="F19" s="27" t="s">
        <v>161</v>
      </c>
      <c r="G19" s="34"/>
      <c r="H19" s="34"/>
      <c r="I19" s="34"/>
      <c r="J19" s="34"/>
      <c r="K19" s="34" t="s">
        <v>237</v>
      </c>
      <c r="L19" s="34"/>
      <c r="M19" s="1"/>
      <c r="N19" s="1"/>
    </row>
    <row r="20" spans="1:14" x14ac:dyDescent="0.25">
      <c r="A20" s="1">
        <v>19</v>
      </c>
      <c r="B20" s="1" t="s">
        <v>11</v>
      </c>
      <c r="C20" s="121" t="s">
        <v>300</v>
      </c>
      <c r="D20" s="121" t="s">
        <v>255</v>
      </c>
      <c r="E20" s="6" t="s">
        <v>217</v>
      </c>
      <c r="F20" s="27" t="s">
        <v>157</v>
      </c>
      <c r="G20" s="34" t="s">
        <v>237</v>
      </c>
      <c r="H20" s="34"/>
      <c r="I20" s="34"/>
      <c r="J20" s="34" t="s">
        <v>237</v>
      </c>
      <c r="K20" s="34"/>
      <c r="L20" s="34"/>
      <c r="M20" s="1"/>
      <c r="N20" s="1"/>
    </row>
    <row r="21" spans="1:14" x14ac:dyDescent="0.25">
      <c r="A21" s="1">
        <v>20</v>
      </c>
      <c r="B21" s="1" t="s">
        <v>11</v>
      </c>
      <c r="C21" s="121" t="s">
        <v>300</v>
      </c>
      <c r="D21" s="121" t="s">
        <v>255</v>
      </c>
      <c r="E21" s="6" t="s">
        <v>223</v>
      </c>
      <c r="F21" s="27" t="s">
        <v>162</v>
      </c>
      <c r="G21" s="34"/>
      <c r="H21" s="34"/>
      <c r="I21" s="34"/>
      <c r="J21" s="34"/>
      <c r="K21" s="34" t="s">
        <v>237</v>
      </c>
      <c r="L21" s="34" t="s">
        <v>237</v>
      </c>
      <c r="M21" s="1"/>
      <c r="N21" s="1"/>
    </row>
    <row r="22" spans="1:14" x14ac:dyDescent="0.25">
      <c r="A22" s="1">
        <v>21</v>
      </c>
      <c r="B22" s="1" t="s">
        <v>11</v>
      </c>
      <c r="C22" s="121" t="s">
        <v>300</v>
      </c>
      <c r="D22" s="121" t="s">
        <v>255</v>
      </c>
      <c r="E22" s="6" t="s">
        <v>221</v>
      </c>
      <c r="F22" s="27" t="s">
        <v>159</v>
      </c>
      <c r="G22" s="34" t="s">
        <v>237</v>
      </c>
      <c r="H22" s="34"/>
      <c r="I22" s="34" t="s">
        <v>237</v>
      </c>
      <c r="J22" s="34"/>
      <c r="K22" s="34"/>
      <c r="L22" s="34"/>
      <c r="M22" s="1"/>
      <c r="N22" s="1"/>
    </row>
    <row r="23" spans="1:14" x14ac:dyDescent="0.25">
      <c r="A23" s="1">
        <v>22</v>
      </c>
      <c r="B23" s="1" t="s">
        <v>11</v>
      </c>
      <c r="C23" s="121" t="s">
        <v>300</v>
      </c>
      <c r="D23" s="121" t="s">
        <v>255</v>
      </c>
      <c r="E23" s="6" t="s">
        <v>176</v>
      </c>
      <c r="F23" s="30" t="s">
        <v>157</v>
      </c>
      <c r="G23" s="34" t="s">
        <v>237</v>
      </c>
      <c r="H23" s="34"/>
      <c r="I23" s="34"/>
      <c r="J23" s="34"/>
      <c r="K23" s="34" t="s">
        <v>237</v>
      </c>
      <c r="L23" s="34"/>
      <c r="M23" s="1"/>
      <c r="N23" s="1"/>
    </row>
    <row r="24" spans="1:14" x14ac:dyDescent="0.25">
      <c r="A24" s="1">
        <v>23</v>
      </c>
      <c r="B24" s="1" t="s">
        <v>11</v>
      </c>
      <c r="C24" s="121" t="s">
        <v>300</v>
      </c>
      <c r="D24" s="121" t="s">
        <v>255</v>
      </c>
      <c r="E24" s="6" t="s">
        <v>212</v>
      </c>
      <c r="F24" s="30" t="s">
        <v>159</v>
      </c>
      <c r="G24" s="34"/>
      <c r="H24" s="34"/>
      <c r="I24" s="34" t="s">
        <v>237</v>
      </c>
      <c r="J24" s="34" t="s">
        <v>237</v>
      </c>
      <c r="K24" s="34"/>
      <c r="L24" s="34" t="s">
        <v>237</v>
      </c>
      <c r="M24" s="1"/>
      <c r="N24" s="1"/>
    </row>
    <row r="25" spans="1:14" x14ac:dyDescent="0.25">
      <c r="A25" s="1">
        <v>24</v>
      </c>
      <c r="B25" s="1" t="s">
        <v>11</v>
      </c>
      <c r="C25" s="121" t="s">
        <v>300</v>
      </c>
      <c r="D25" s="121" t="s">
        <v>255</v>
      </c>
      <c r="E25" s="6" t="s">
        <v>216</v>
      </c>
      <c r="F25" s="27" t="s">
        <v>157</v>
      </c>
      <c r="G25" s="34" t="s">
        <v>237</v>
      </c>
      <c r="H25" s="34"/>
      <c r="I25" s="34"/>
      <c r="J25" s="34"/>
      <c r="K25" s="34" t="s">
        <v>237</v>
      </c>
      <c r="L25" s="34"/>
      <c r="M25" s="1"/>
      <c r="N25" s="1"/>
    </row>
    <row r="26" spans="1:14" x14ac:dyDescent="0.25">
      <c r="A26" s="1">
        <v>25</v>
      </c>
      <c r="B26" s="1" t="s">
        <v>11</v>
      </c>
      <c r="C26" s="121" t="s">
        <v>299</v>
      </c>
      <c r="D26" s="121" t="s">
        <v>254</v>
      </c>
      <c r="E26" s="6" t="s">
        <v>209</v>
      </c>
      <c r="F26" s="30" t="s">
        <v>159</v>
      </c>
      <c r="G26" s="34" t="s">
        <v>237</v>
      </c>
      <c r="H26" s="34"/>
      <c r="I26" s="34" t="s">
        <v>237</v>
      </c>
      <c r="J26" s="34" t="s">
        <v>237</v>
      </c>
      <c r="K26" s="34"/>
      <c r="L26" s="34"/>
      <c r="M26" s="1"/>
      <c r="N26" s="1"/>
    </row>
    <row r="27" spans="1:14" x14ac:dyDescent="0.25">
      <c r="A27" s="1">
        <v>26</v>
      </c>
      <c r="B27" s="1" t="s">
        <v>11</v>
      </c>
      <c r="C27" s="121" t="s">
        <v>299</v>
      </c>
      <c r="D27" s="121" t="s">
        <v>254</v>
      </c>
      <c r="E27" s="6" t="s">
        <v>210</v>
      </c>
      <c r="F27" s="30" t="s">
        <v>158</v>
      </c>
      <c r="G27" s="34" t="s">
        <v>237</v>
      </c>
      <c r="H27" s="34" t="s">
        <v>237</v>
      </c>
      <c r="I27" s="34"/>
      <c r="J27" s="34" t="s">
        <v>237</v>
      </c>
      <c r="K27" s="34"/>
      <c r="L27" s="34"/>
      <c r="M27" s="1"/>
      <c r="N27" s="1"/>
    </row>
    <row r="28" spans="1:14" x14ac:dyDescent="0.25">
      <c r="A28" s="1">
        <v>27</v>
      </c>
      <c r="B28" s="1" t="s">
        <v>11</v>
      </c>
      <c r="C28" s="121" t="s">
        <v>299</v>
      </c>
      <c r="D28" s="121" t="s">
        <v>254</v>
      </c>
      <c r="E28" s="6" t="s">
        <v>207</v>
      </c>
      <c r="F28" s="27" t="s">
        <v>160</v>
      </c>
      <c r="G28" s="34" t="s">
        <v>237</v>
      </c>
      <c r="H28" s="34"/>
      <c r="I28" s="34"/>
      <c r="J28" s="34" t="s">
        <v>237</v>
      </c>
      <c r="K28" s="34"/>
      <c r="L28" s="34"/>
      <c r="M28" s="1"/>
      <c r="N28" s="1"/>
    </row>
    <row r="29" spans="1:14" x14ac:dyDescent="0.25">
      <c r="A29" s="1">
        <v>28</v>
      </c>
      <c r="B29" s="1" t="s">
        <v>11</v>
      </c>
      <c r="C29" s="121" t="s">
        <v>299</v>
      </c>
      <c r="D29" s="121" t="s">
        <v>254</v>
      </c>
      <c r="E29" s="6" t="s">
        <v>211</v>
      </c>
      <c r="F29" s="27" t="s">
        <v>158</v>
      </c>
      <c r="G29" s="34"/>
      <c r="H29" s="34" t="s">
        <v>237</v>
      </c>
      <c r="I29" s="34"/>
      <c r="J29" s="34"/>
      <c r="K29" s="34" t="s">
        <v>237</v>
      </c>
      <c r="L29" s="34" t="s">
        <v>237</v>
      </c>
      <c r="M29" s="1"/>
      <c r="N29" s="1"/>
    </row>
    <row r="30" spans="1:14" x14ac:dyDescent="0.25">
      <c r="A30" s="1">
        <v>29</v>
      </c>
      <c r="B30" s="1" t="s">
        <v>11</v>
      </c>
      <c r="C30" s="121" t="s">
        <v>299</v>
      </c>
      <c r="D30" s="121" t="s">
        <v>254</v>
      </c>
      <c r="E30" s="6" t="s">
        <v>206</v>
      </c>
      <c r="F30" s="27" t="s">
        <v>159</v>
      </c>
      <c r="G30" s="34" t="s">
        <v>237</v>
      </c>
      <c r="H30" s="34"/>
      <c r="I30" s="34" t="s">
        <v>237</v>
      </c>
      <c r="J30" s="34" t="s">
        <v>237</v>
      </c>
      <c r="K30" s="34"/>
      <c r="L30" s="34"/>
      <c r="M30" s="1"/>
      <c r="N30" s="1"/>
    </row>
    <row r="31" spans="1:14" x14ac:dyDescent="0.25">
      <c r="A31" s="1">
        <v>30</v>
      </c>
      <c r="B31" s="1" t="s">
        <v>11</v>
      </c>
      <c r="C31" s="121" t="s">
        <v>299</v>
      </c>
      <c r="D31" s="121" t="s">
        <v>254</v>
      </c>
      <c r="E31" s="6" t="s">
        <v>208</v>
      </c>
      <c r="F31" s="27" t="s">
        <v>157</v>
      </c>
      <c r="G31" s="34" t="s">
        <v>237</v>
      </c>
      <c r="H31" s="34"/>
      <c r="I31" s="34"/>
      <c r="J31" s="34" t="s">
        <v>237</v>
      </c>
      <c r="K31" s="34"/>
      <c r="L31" s="34"/>
      <c r="M31" s="1"/>
      <c r="N31" s="1"/>
    </row>
    <row r="32" spans="1:14" x14ac:dyDescent="0.25">
      <c r="A32" s="1">
        <v>31</v>
      </c>
      <c r="B32" s="1" t="s">
        <v>11</v>
      </c>
      <c r="C32" s="121" t="s">
        <v>299</v>
      </c>
      <c r="D32" s="121" t="s">
        <v>254</v>
      </c>
      <c r="E32" s="3" t="s">
        <v>248</v>
      </c>
      <c r="F32" s="27" t="s">
        <v>158</v>
      </c>
      <c r="G32" s="34"/>
      <c r="H32" s="34" t="s">
        <v>237</v>
      </c>
      <c r="I32" s="34"/>
      <c r="J32" s="34"/>
      <c r="K32" s="34"/>
      <c r="L32" s="34"/>
      <c r="M32" s="1"/>
      <c r="N32" s="1"/>
    </row>
    <row r="33" spans="1:14" x14ac:dyDescent="0.25">
      <c r="A33" s="1">
        <v>32</v>
      </c>
      <c r="B33" s="1" t="s">
        <v>11</v>
      </c>
      <c r="C33" s="121" t="s">
        <v>298</v>
      </c>
      <c r="D33" s="121" t="s">
        <v>253</v>
      </c>
      <c r="E33" s="6" t="s">
        <v>172</v>
      </c>
      <c r="F33" s="30" t="s">
        <v>161</v>
      </c>
      <c r="G33" s="34"/>
      <c r="H33" s="34"/>
      <c r="I33" s="34" t="s">
        <v>237</v>
      </c>
      <c r="J33" s="34" t="s">
        <v>237</v>
      </c>
      <c r="K33" s="34" t="s">
        <v>237</v>
      </c>
      <c r="L33" s="34"/>
      <c r="M33" s="1"/>
      <c r="N33" s="1"/>
    </row>
    <row r="34" spans="1:14" x14ac:dyDescent="0.25">
      <c r="A34" s="1">
        <v>33</v>
      </c>
      <c r="B34" s="1" t="s">
        <v>11</v>
      </c>
      <c r="C34" s="121" t="s">
        <v>298</v>
      </c>
      <c r="D34" s="121" t="s">
        <v>253</v>
      </c>
      <c r="E34" s="6" t="s">
        <v>193</v>
      </c>
      <c r="F34" s="30" t="s">
        <v>157</v>
      </c>
      <c r="G34" s="34" t="s">
        <v>237</v>
      </c>
      <c r="H34" s="34"/>
      <c r="I34" s="34"/>
      <c r="J34" s="34" t="s">
        <v>237</v>
      </c>
      <c r="K34" s="34"/>
      <c r="L34" s="34"/>
      <c r="M34" s="1"/>
      <c r="N34" s="1"/>
    </row>
    <row r="35" spans="1:14" x14ac:dyDescent="0.25">
      <c r="A35" s="1">
        <v>34</v>
      </c>
      <c r="B35" s="1" t="s">
        <v>11</v>
      </c>
      <c r="C35" s="121" t="s">
        <v>298</v>
      </c>
      <c r="D35" s="121" t="s">
        <v>253</v>
      </c>
      <c r="E35" s="6" t="s">
        <v>166</v>
      </c>
      <c r="F35" s="30" t="s">
        <v>162</v>
      </c>
      <c r="G35" s="34"/>
      <c r="H35" s="34"/>
      <c r="I35" s="34" t="s">
        <v>237</v>
      </c>
      <c r="J35" s="34"/>
      <c r="K35" s="34"/>
      <c r="L35" s="34" t="s">
        <v>237</v>
      </c>
      <c r="M35" s="1"/>
      <c r="N35" s="1"/>
    </row>
    <row r="36" spans="1:14" x14ac:dyDescent="0.25">
      <c r="A36" s="1">
        <v>35</v>
      </c>
      <c r="B36" s="1" t="s">
        <v>11</v>
      </c>
      <c r="C36" s="121" t="s">
        <v>298</v>
      </c>
      <c r="D36" s="121" t="s">
        <v>253</v>
      </c>
      <c r="E36" s="6" t="s">
        <v>174</v>
      </c>
      <c r="F36" s="30" t="s">
        <v>161</v>
      </c>
      <c r="G36" s="34"/>
      <c r="H36" s="34" t="s">
        <v>237</v>
      </c>
      <c r="I36" s="34" t="s">
        <v>237</v>
      </c>
      <c r="J36" s="34" t="s">
        <v>237</v>
      </c>
      <c r="K36" s="34" t="s">
        <v>237</v>
      </c>
      <c r="L36" s="34"/>
      <c r="M36" s="1"/>
      <c r="N36" s="1"/>
    </row>
    <row r="37" spans="1:14" x14ac:dyDescent="0.25">
      <c r="A37" s="1">
        <v>36</v>
      </c>
      <c r="B37" s="1" t="s">
        <v>11</v>
      </c>
      <c r="C37" s="121" t="s">
        <v>298</v>
      </c>
      <c r="D37" s="121" t="s">
        <v>253</v>
      </c>
      <c r="E37" s="6" t="s">
        <v>191</v>
      </c>
      <c r="F37" s="30" t="s">
        <v>157</v>
      </c>
      <c r="G37" s="34" t="s">
        <v>237</v>
      </c>
      <c r="H37" s="34"/>
      <c r="I37" s="34"/>
      <c r="J37" s="34" t="s">
        <v>237</v>
      </c>
      <c r="K37" s="34"/>
      <c r="L37" s="34"/>
      <c r="M37" s="1"/>
      <c r="N37" s="1"/>
    </row>
    <row r="38" spans="1:14" x14ac:dyDescent="0.25">
      <c r="A38" s="1">
        <v>37</v>
      </c>
      <c r="B38" s="1" t="s">
        <v>11</v>
      </c>
      <c r="C38" s="121" t="s">
        <v>298</v>
      </c>
      <c r="D38" s="121" t="s">
        <v>253</v>
      </c>
      <c r="E38" s="6" t="s">
        <v>167</v>
      </c>
      <c r="F38" s="30" t="s">
        <v>158</v>
      </c>
      <c r="G38" s="34" t="s">
        <v>237</v>
      </c>
      <c r="H38" s="34" t="s">
        <v>237</v>
      </c>
      <c r="I38" s="34"/>
      <c r="J38" s="34" t="s">
        <v>237</v>
      </c>
      <c r="K38" s="34"/>
      <c r="L38" s="34"/>
      <c r="M38" s="1"/>
      <c r="N38" s="1"/>
    </row>
    <row r="39" spans="1:14" x14ac:dyDescent="0.25">
      <c r="A39" s="1">
        <v>38</v>
      </c>
      <c r="B39" s="1" t="s">
        <v>11</v>
      </c>
      <c r="C39" s="121" t="s">
        <v>298</v>
      </c>
      <c r="D39" s="121" t="s">
        <v>253</v>
      </c>
      <c r="E39" s="6" t="s">
        <v>175</v>
      </c>
      <c r="F39" s="30" t="s">
        <v>157</v>
      </c>
      <c r="G39" s="34" t="s">
        <v>237</v>
      </c>
      <c r="H39" s="34"/>
      <c r="I39" s="34"/>
      <c r="J39" s="34" t="s">
        <v>237</v>
      </c>
      <c r="K39" s="34"/>
      <c r="L39" s="34"/>
      <c r="M39" s="1"/>
      <c r="N39" s="1"/>
    </row>
    <row r="40" spans="1:14" x14ac:dyDescent="0.25">
      <c r="A40" s="1">
        <v>39</v>
      </c>
      <c r="B40" s="1" t="s">
        <v>11</v>
      </c>
      <c r="C40" s="121" t="s">
        <v>298</v>
      </c>
      <c r="D40" s="121" t="s">
        <v>253</v>
      </c>
      <c r="E40" s="6" t="s">
        <v>178</v>
      </c>
      <c r="F40" s="30" t="s">
        <v>162</v>
      </c>
      <c r="G40" s="34"/>
      <c r="H40" s="34"/>
      <c r="I40" s="34"/>
      <c r="J40" s="34" t="s">
        <v>237</v>
      </c>
      <c r="K40" s="34"/>
      <c r="L40" s="34" t="s">
        <v>237</v>
      </c>
      <c r="M40" s="1"/>
      <c r="N40" s="1"/>
    </row>
    <row r="41" spans="1:14" x14ac:dyDescent="0.25">
      <c r="A41" s="1">
        <v>40</v>
      </c>
      <c r="B41" s="1" t="s">
        <v>11</v>
      </c>
      <c r="C41" s="121" t="s">
        <v>298</v>
      </c>
      <c r="D41" s="121" t="s">
        <v>253</v>
      </c>
      <c r="E41" s="6" t="s">
        <v>199</v>
      </c>
      <c r="F41" s="27" t="s">
        <v>159</v>
      </c>
      <c r="G41" s="34" t="s">
        <v>237</v>
      </c>
      <c r="H41" s="34"/>
      <c r="I41" s="34" t="s">
        <v>237</v>
      </c>
      <c r="J41" s="34" t="s">
        <v>237</v>
      </c>
      <c r="K41" s="34"/>
      <c r="L41" s="34"/>
      <c r="M41" s="1"/>
      <c r="N41" s="1"/>
    </row>
    <row r="42" spans="1:14" x14ac:dyDescent="0.25">
      <c r="A42" s="1">
        <v>41</v>
      </c>
      <c r="B42" s="1" t="s">
        <v>11</v>
      </c>
      <c r="C42" s="121" t="s">
        <v>298</v>
      </c>
      <c r="D42" s="121" t="s">
        <v>253</v>
      </c>
      <c r="E42" s="6" t="s">
        <v>233</v>
      </c>
      <c r="F42" s="27" t="s">
        <v>162</v>
      </c>
      <c r="G42" s="34"/>
      <c r="H42" s="34"/>
      <c r="I42" s="34"/>
      <c r="J42" s="34"/>
      <c r="K42" s="34"/>
      <c r="L42" s="34" t="s">
        <v>237</v>
      </c>
      <c r="M42" s="1"/>
      <c r="N42" s="1"/>
    </row>
    <row r="43" spans="1:14" x14ac:dyDescent="0.25">
      <c r="A43" s="1">
        <v>42</v>
      </c>
      <c r="B43" s="1" t="s">
        <v>11</v>
      </c>
      <c r="C43" s="121" t="s">
        <v>298</v>
      </c>
      <c r="D43" s="121" t="s">
        <v>253</v>
      </c>
      <c r="E43" s="6" t="s">
        <v>173</v>
      </c>
      <c r="F43" s="27" t="s">
        <v>161</v>
      </c>
      <c r="G43" s="34"/>
      <c r="H43" s="34" t="s">
        <v>237</v>
      </c>
      <c r="I43" s="34" t="s">
        <v>237</v>
      </c>
      <c r="J43" s="34" t="s">
        <v>237</v>
      </c>
      <c r="K43" s="34" t="s">
        <v>237</v>
      </c>
      <c r="L43" s="34"/>
      <c r="M43" s="1"/>
      <c r="N43" s="1"/>
    </row>
    <row r="44" spans="1:14" x14ac:dyDescent="0.25">
      <c r="A44" s="1">
        <v>43</v>
      </c>
      <c r="B44" s="1" t="s">
        <v>11</v>
      </c>
      <c r="C44" s="121" t="s">
        <v>298</v>
      </c>
      <c r="D44" s="121" t="s">
        <v>253</v>
      </c>
      <c r="E44" s="6" t="s">
        <v>171</v>
      </c>
      <c r="F44" s="30" t="s">
        <v>159</v>
      </c>
      <c r="G44" s="34" t="s">
        <v>237</v>
      </c>
      <c r="H44" s="34"/>
      <c r="I44" s="34" t="s">
        <v>237</v>
      </c>
      <c r="J44" s="34"/>
      <c r="K44" s="34" t="s">
        <v>237</v>
      </c>
      <c r="L44" s="34"/>
      <c r="M44" s="1"/>
      <c r="N44" s="1"/>
    </row>
    <row r="45" spans="1:14" x14ac:dyDescent="0.25">
      <c r="A45" s="1">
        <v>44</v>
      </c>
      <c r="B45" s="1" t="s">
        <v>11</v>
      </c>
      <c r="C45" s="121" t="s">
        <v>298</v>
      </c>
      <c r="D45" s="121" t="s">
        <v>253</v>
      </c>
      <c r="E45" s="6" t="s">
        <v>169</v>
      </c>
      <c r="F45" s="30" t="s">
        <v>158</v>
      </c>
      <c r="G45" s="34"/>
      <c r="H45" s="34" t="s">
        <v>237</v>
      </c>
      <c r="I45" s="34" t="s">
        <v>237</v>
      </c>
      <c r="J45" s="34"/>
      <c r="K45" s="34"/>
      <c r="L45" s="34" t="s">
        <v>237</v>
      </c>
      <c r="M45" s="1"/>
      <c r="N45" s="1"/>
    </row>
    <row r="46" spans="1:14" x14ac:dyDescent="0.25">
      <c r="A46" s="1">
        <v>45</v>
      </c>
      <c r="B46" s="1" t="s">
        <v>11</v>
      </c>
      <c r="C46" s="121" t="s">
        <v>298</v>
      </c>
      <c r="D46" s="121" t="s">
        <v>253</v>
      </c>
      <c r="E46" s="6" t="s">
        <v>194</v>
      </c>
      <c r="F46" s="30" t="s">
        <v>161</v>
      </c>
      <c r="G46" s="34" t="s">
        <v>237</v>
      </c>
      <c r="H46" s="34"/>
      <c r="I46" s="34"/>
      <c r="J46" s="34" t="s">
        <v>237</v>
      </c>
      <c r="K46" s="34" t="s">
        <v>237</v>
      </c>
      <c r="L46" s="34"/>
      <c r="M46" s="1"/>
      <c r="N46" s="1"/>
    </row>
    <row r="47" spans="1:14" x14ac:dyDescent="0.25">
      <c r="A47" s="1">
        <v>46</v>
      </c>
      <c r="B47" s="1" t="s">
        <v>11</v>
      </c>
      <c r="C47" s="121" t="s">
        <v>298</v>
      </c>
      <c r="D47" s="121" t="s">
        <v>253</v>
      </c>
      <c r="E47" s="6" t="s">
        <v>219</v>
      </c>
      <c r="F47" s="30" t="s">
        <v>157</v>
      </c>
      <c r="G47" s="34" t="s">
        <v>237</v>
      </c>
      <c r="H47" s="34" t="s">
        <v>237</v>
      </c>
      <c r="I47" s="34" t="s">
        <v>237</v>
      </c>
      <c r="J47" s="34"/>
      <c r="K47" s="34" t="s">
        <v>237</v>
      </c>
      <c r="L47" s="34"/>
      <c r="M47" s="1"/>
      <c r="N47" s="1"/>
    </row>
    <row r="48" spans="1:14" x14ac:dyDescent="0.25">
      <c r="A48" s="1">
        <v>47</v>
      </c>
      <c r="B48" s="1" t="s">
        <v>11</v>
      </c>
      <c r="C48" s="121" t="s">
        <v>298</v>
      </c>
      <c r="D48" s="121" t="s">
        <v>253</v>
      </c>
      <c r="E48" s="6" t="s">
        <v>168</v>
      </c>
      <c r="F48" s="30" t="s">
        <v>159</v>
      </c>
      <c r="G48" s="34" t="s">
        <v>237</v>
      </c>
      <c r="H48" s="34"/>
      <c r="I48" s="34" t="s">
        <v>237</v>
      </c>
      <c r="J48" s="34" t="s">
        <v>237</v>
      </c>
      <c r="K48" s="34"/>
      <c r="L48" s="34"/>
      <c r="M48" s="1"/>
      <c r="N48" s="1"/>
    </row>
    <row r="49" spans="1:14" x14ac:dyDescent="0.25">
      <c r="A49" s="1">
        <v>48</v>
      </c>
      <c r="B49" s="1" t="s">
        <v>11</v>
      </c>
      <c r="C49" s="121" t="s">
        <v>298</v>
      </c>
      <c r="D49" s="121" t="s">
        <v>253</v>
      </c>
      <c r="E49" s="6" t="s">
        <v>192</v>
      </c>
      <c r="F49" s="27" t="s">
        <v>157</v>
      </c>
      <c r="G49" s="34" t="s">
        <v>237</v>
      </c>
      <c r="H49" s="34"/>
      <c r="I49" s="34"/>
      <c r="J49" s="34" t="s">
        <v>237</v>
      </c>
      <c r="K49" s="34"/>
      <c r="L49" s="34"/>
      <c r="M49" s="1"/>
      <c r="N49" s="1"/>
    </row>
    <row r="50" spans="1:14" x14ac:dyDescent="0.25">
      <c r="A50" s="1">
        <v>49</v>
      </c>
      <c r="B50" s="1" t="s">
        <v>11</v>
      </c>
      <c r="C50" s="121" t="s">
        <v>298</v>
      </c>
      <c r="D50" s="121" t="s">
        <v>253</v>
      </c>
      <c r="E50" s="6" t="s">
        <v>195</v>
      </c>
      <c r="F50" s="30" t="s">
        <v>157</v>
      </c>
      <c r="G50" s="34" t="s">
        <v>237</v>
      </c>
      <c r="H50" s="34"/>
      <c r="I50" s="34"/>
      <c r="J50" s="34" t="s">
        <v>237</v>
      </c>
      <c r="K50" s="34"/>
      <c r="L50" s="34"/>
      <c r="M50" s="1"/>
      <c r="N50" s="1"/>
    </row>
    <row r="51" spans="1:14" x14ac:dyDescent="0.25">
      <c r="A51" s="1">
        <v>50</v>
      </c>
      <c r="B51" s="1" t="s">
        <v>11</v>
      </c>
      <c r="C51" s="121" t="s">
        <v>298</v>
      </c>
      <c r="D51" s="121" t="s">
        <v>253</v>
      </c>
      <c r="E51" s="6" t="s">
        <v>204</v>
      </c>
      <c r="F51" s="30" t="s">
        <v>160</v>
      </c>
      <c r="G51" s="34"/>
      <c r="H51" s="34"/>
      <c r="I51" s="34"/>
      <c r="J51" s="34" t="s">
        <v>237</v>
      </c>
      <c r="K51" s="34" t="s">
        <v>237</v>
      </c>
      <c r="L51" s="34"/>
      <c r="M51" s="1"/>
      <c r="N51" s="1"/>
    </row>
    <row r="52" spans="1:14" x14ac:dyDescent="0.25">
      <c r="A52" s="1">
        <v>51</v>
      </c>
      <c r="B52" s="1" t="s">
        <v>11</v>
      </c>
      <c r="C52" s="121" t="s">
        <v>298</v>
      </c>
      <c r="D52" s="121" t="s">
        <v>253</v>
      </c>
      <c r="E52" s="6" t="s">
        <v>234</v>
      </c>
      <c r="F52" s="30" t="s">
        <v>161</v>
      </c>
      <c r="G52" s="34"/>
      <c r="H52" s="34"/>
      <c r="I52" s="34"/>
      <c r="J52" s="34"/>
      <c r="K52" s="34" t="s">
        <v>237</v>
      </c>
      <c r="L52" s="34"/>
      <c r="M52" s="1"/>
      <c r="N52" s="1"/>
    </row>
    <row r="53" spans="1:14" x14ac:dyDescent="0.25">
      <c r="A53" s="1">
        <v>52</v>
      </c>
      <c r="B53" s="1" t="s">
        <v>11</v>
      </c>
      <c r="C53" s="121" t="s">
        <v>298</v>
      </c>
      <c r="D53" s="121" t="s">
        <v>253</v>
      </c>
      <c r="E53" s="6" t="s">
        <v>235</v>
      </c>
      <c r="F53" s="30" t="s">
        <v>159</v>
      </c>
      <c r="G53" s="34"/>
      <c r="H53" s="34"/>
      <c r="I53" s="34" t="s">
        <v>237</v>
      </c>
      <c r="J53" s="34"/>
      <c r="K53" s="34"/>
      <c r="L53" s="34"/>
      <c r="M53" s="1"/>
      <c r="N53" s="1"/>
    </row>
    <row r="54" spans="1:14" x14ac:dyDescent="0.25">
      <c r="A54" s="1">
        <v>53</v>
      </c>
      <c r="B54" s="1" t="s">
        <v>11</v>
      </c>
      <c r="C54" s="121" t="s">
        <v>298</v>
      </c>
      <c r="D54" s="121" t="s">
        <v>253</v>
      </c>
      <c r="E54" s="6" t="s">
        <v>196</v>
      </c>
      <c r="F54" s="30" t="s">
        <v>157</v>
      </c>
      <c r="G54" s="34" t="s">
        <v>237</v>
      </c>
      <c r="H54" s="34"/>
      <c r="I54" s="34"/>
      <c r="J54" s="34" t="s">
        <v>237</v>
      </c>
      <c r="K54" s="34"/>
      <c r="L54" s="34"/>
      <c r="M54" s="1"/>
      <c r="N54" s="1"/>
    </row>
    <row r="55" spans="1:14" x14ac:dyDescent="0.25">
      <c r="A55" s="1">
        <v>54</v>
      </c>
      <c r="B55" s="1" t="s">
        <v>11</v>
      </c>
      <c r="C55" s="121" t="s">
        <v>298</v>
      </c>
      <c r="D55" s="121" t="s">
        <v>253</v>
      </c>
      <c r="E55" s="6" t="s">
        <v>181</v>
      </c>
      <c r="F55" s="30" t="s">
        <v>160</v>
      </c>
      <c r="G55" s="34" t="s">
        <v>237</v>
      </c>
      <c r="H55" s="34"/>
      <c r="I55" s="34"/>
      <c r="J55" s="34" t="s">
        <v>237</v>
      </c>
      <c r="K55" s="34"/>
      <c r="L55" s="34"/>
      <c r="M55" s="1"/>
      <c r="N55" s="1"/>
    </row>
    <row r="56" spans="1:14" x14ac:dyDescent="0.25">
      <c r="A56" s="1">
        <v>55</v>
      </c>
      <c r="B56" s="1" t="s">
        <v>11</v>
      </c>
      <c r="C56" s="121" t="s">
        <v>298</v>
      </c>
      <c r="D56" s="121" t="s">
        <v>253</v>
      </c>
      <c r="E56" s="6" t="s">
        <v>246</v>
      </c>
      <c r="F56" s="30" t="s">
        <v>159</v>
      </c>
      <c r="G56" s="34"/>
      <c r="H56" s="34"/>
      <c r="I56" s="34" t="s">
        <v>237</v>
      </c>
      <c r="J56" s="34"/>
      <c r="K56" s="34"/>
      <c r="L56" s="34"/>
      <c r="M56" s="1"/>
      <c r="N56" s="1"/>
    </row>
    <row r="57" spans="1:14" x14ac:dyDescent="0.25">
      <c r="A57" s="1">
        <v>56</v>
      </c>
      <c r="B57" s="1" t="s">
        <v>11</v>
      </c>
      <c r="C57" s="121" t="s">
        <v>298</v>
      </c>
      <c r="D57" s="121" t="s">
        <v>253</v>
      </c>
      <c r="E57" s="6" t="s">
        <v>183</v>
      </c>
      <c r="F57" s="27" t="s">
        <v>160</v>
      </c>
      <c r="G57" s="34"/>
      <c r="H57" s="34"/>
      <c r="I57" s="34" t="s">
        <v>237</v>
      </c>
      <c r="J57" s="34" t="s">
        <v>237</v>
      </c>
      <c r="K57" s="34"/>
      <c r="L57" s="34" t="s">
        <v>237</v>
      </c>
      <c r="M57" s="1"/>
      <c r="N57" s="1"/>
    </row>
    <row r="58" spans="1:14" x14ac:dyDescent="0.25">
      <c r="A58" s="1">
        <v>57</v>
      </c>
      <c r="B58" s="1" t="s">
        <v>11</v>
      </c>
      <c r="C58" s="121" t="s">
        <v>298</v>
      </c>
      <c r="D58" s="121" t="s">
        <v>253</v>
      </c>
      <c r="E58" s="6" t="s">
        <v>205</v>
      </c>
      <c r="F58" s="30" t="s">
        <v>159</v>
      </c>
      <c r="G58" s="34" t="s">
        <v>237</v>
      </c>
      <c r="H58" s="34"/>
      <c r="I58" s="34" t="s">
        <v>237</v>
      </c>
      <c r="J58" s="34" t="s">
        <v>237</v>
      </c>
      <c r="K58" s="34"/>
      <c r="L58" s="34"/>
      <c r="M58" s="1"/>
      <c r="N58" s="1"/>
    </row>
    <row r="59" spans="1:14" x14ac:dyDescent="0.25">
      <c r="A59" s="1">
        <v>58</v>
      </c>
      <c r="B59" s="1" t="s">
        <v>11</v>
      </c>
      <c r="C59" s="121" t="s">
        <v>298</v>
      </c>
      <c r="D59" s="121" t="s">
        <v>253</v>
      </c>
      <c r="E59" s="6" t="s">
        <v>180</v>
      </c>
      <c r="F59" s="30" t="s">
        <v>157</v>
      </c>
      <c r="G59" s="34" t="s">
        <v>237</v>
      </c>
      <c r="H59" s="34"/>
      <c r="I59" s="34"/>
      <c r="J59" s="34"/>
      <c r="K59" s="34"/>
      <c r="L59" s="34"/>
      <c r="M59" s="1"/>
      <c r="N59" s="1"/>
    </row>
    <row r="60" spans="1:14" x14ac:dyDescent="0.25">
      <c r="A60" s="1">
        <v>59</v>
      </c>
      <c r="B60" s="1" t="s">
        <v>11</v>
      </c>
      <c r="C60" s="121" t="s">
        <v>298</v>
      </c>
      <c r="D60" s="121" t="s">
        <v>253</v>
      </c>
      <c r="E60" s="6" t="s">
        <v>190</v>
      </c>
      <c r="F60" s="30" t="s">
        <v>157</v>
      </c>
      <c r="G60" s="34" t="s">
        <v>237</v>
      </c>
      <c r="H60" s="34"/>
      <c r="I60" s="34"/>
      <c r="J60" s="34" t="s">
        <v>237</v>
      </c>
      <c r="K60" s="34"/>
      <c r="L60" s="34"/>
      <c r="M60" s="1"/>
      <c r="N60" s="1"/>
    </row>
    <row r="61" spans="1:14" x14ac:dyDescent="0.25">
      <c r="A61" s="1">
        <v>60</v>
      </c>
      <c r="B61" s="1" t="s">
        <v>11</v>
      </c>
      <c r="C61" s="121" t="s">
        <v>298</v>
      </c>
      <c r="D61" s="121" t="s">
        <v>253</v>
      </c>
      <c r="E61" s="6" t="s">
        <v>200</v>
      </c>
      <c r="F61" s="27" t="s">
        <v>159</v>
      </c>
      <c r="G61" s="34" t="s">
        <v>237</v>
      </c>
      <c r="H61" s="34"/>
      <c r="I61" s="34" t="s">
        <v>237</v>
      </c>
      <c r="J61" s="34" t="s">
        <v>237</v>
      </c>
      <c r="K61" s="34"/>
      <c r="L61" s="34"/>
      <c r="M61" s="1"/>
      <c r="N61" s="1"/>
    </row>
    <row r="62" spans="1:14" x14ac:dyDescent="0.25">
      <c r="A62" s="1">
        <v>61</v>
      </c>
      <c r="B62" s="1" t="s">
        <v>11</v>
      </c>
      <c r="C62" s="121" t="s">
        <v>298</v>
      </c>
      <c r="D62" s="121" t="s">
        <v>253</v>
      </c>
      <c r="E62" s="6" t="s">
        <v>185</v>
      </c>
      <c r="F62" s="27" t="s">
        <v>160</v>
      </c>
      <c r="G62" s="34"/>
      <c r="H62" s="34"/>
      <c r="I62" s="34" t="s">
        <v>237</v>
      </c>
      <c r="J62" s="34" t="s">
        <v>237</v>
      </c>
      <c r="K62" s="34"/>
      <c r="L62" s="34"/>
      <c r="M62" s="1"/>
      <c r="N62" s="1"/>
    </row>
    <row r="63" spans="1:14" x14ac:dyDescent="0.25">
      <c r="A63" s="1">
        <v>62</v>
      </c>
      <c r="B63" s="1" t="s">
        <v>11</v>
      </c>
      <c r="C63" s="121" t="s">
        <v>298</v>
      </c>
      <c r="D63" s="121" t="s">
        <v>253</v>
      </c>
      <c r="E63" s="6" t="s">
        <v>198</v>
      </c>
      <c r="F63" s="27" t="s">
        <v>158</v>
      </c>
      <c r="G63" s="34"/>
      <c r="H63" s="34" t="s">
        <v>237</v>
      </c>
      <c r="I63" s="34" t="s">
        <v>237</v>
      </c>
      <c r="J63" s="34" t="s">
        <v>237</v>
      </c>
      <c r="K63" s="34"/>
      <c r="L63" s="34"/>
      <c r="M63" s="1"/>
      <c r="N63" s="1"/>
    </row>
    <row r="64" spans="1:14" x14ac:dyDescent="0.25">
      <c r="A64" s="1">
        <v>63</v>
      </c>
      <c r="B64" s="1" t="s">
        <v>11</v>
      </c>
      <c r="C64" s="121" t="s">
        <v>298</v>
      </c>
      <c r="D64" s="121" t="s">
        <v>253</v>
      </c>
      <c r="E64" s="6" t="s">
        <v>203</v>
      </c>
      <c r="F64" s="27" t="s">
        <v>159</v>
      </c>
      <c r="G64" s="34" t="s">
        <v>237</v>
      </c>
      <c r="H64" s="34"/>
      <c r="I64" s="34" t="s">
        <v>237</v>
      </c>
      <c r="J64" s="34" t="s">
        <v>237</v>
      </c>
      <c r="K64" s="34"/>
      <c r="L64" s="34"/>
      <c r="M64" s="1"/>
      <c r="N64" s="1"/>
    </row>
    <row r="65" spans="1:14" x14ac:dyDescent="0.25">
      <c r="A65" s="1">
        <v>64</v>
      </c>
      <c r="B65" s="1" t="s">
        <v>11</v>
      </c>
      <c r="C65" s="121" t="s">
        <v>298</v>
      </c>
      <c r="D65" s="121" t="s">
        <v>253</v>
      </c>
      <c r="E65" s="6" t="s">
        <v>179</v>
      </c>
      <c r="F65" s="27" t="s">
        <v>160</v>
      </c>
      <c r="G65" s="34" t="s">
        <v>237</v>
      </c>
      <c r="H65" s="34"/>
      <c r="I65" s="34"/>
      <c r="J65" s="34" t="s">
        <v>237</v>
      </c>
      <c r="K65" s="34"/>
      <c r="L65" s="34"/>
      <c r="M65" s="1"/>
      <c r="N65" s="1"/>
    </row>
    <row r="66" spans="1:14" x14ac:dyDescent="0.25">
      <c r="A66" s="1">
        <v>65</v>
      </c>
      <c r="B66" s="1" t="s">
        <v>11</v>
      </c>
      <c r="C66" s="121" t="s">
        <v>298</v>
      </c>
      <c r="D66" s="121" t="s">
        <v>253</v>
      </c>
      <c r="E66" s="6" t="s">
        <v>184</v>
      </c>
      <c r="F66" s="27" t="s">
        <v>160</v>
      </c>
      <c r="G66" s="34"/>
      <c r="H66" s="34"/>
      <c r="I66" s="34"/>
      <c r="J66" s="34" t="s">
        <v>237</v>
      </c>
      <c r="K66" s="34"/>
      <c r="L66" s="34" t="s">
        <v>237</v>
      </c>
      <c r="M66" s="1"/>
      <c r="N66" s="1"/>
    </row>
    <row r="67" spans="1:14" x14ac:dyDescent="0.25">
      <c r="A67" s="1">
        <v>66</v>
      </c>
      <c r="B67" s="1" t="s">
        <v>11</v>
      </c>
      <c r="C67" s="121" t="s">
        <v>298</v>
      </c>
      <c r="D67" s="121" t="s">
        <v>253</v>
      </c>
      <c r="E67" s="6" t="s">
        <v>186</v>
      </c>
      <c r="F67" s="27" t="s">
        <v>160</v>
      </c>
      <c r="G67" s="34" t="s">
        <v>237</v>
      </c>
      <c r="H67" s="34"/>
      <c r="I67" s="34"/>
      <c r="J67" s="34" t="s">
        <v>237</v>
      </c>
      <c r="K67" s="34"/>
      <c r="L67" s="34"/>
      <c r="M67" s="1"/>
      <c r="N67" s="1"/>
    </row>
    <row r="68" spans="1:14" x14ac:dyDescent="0.25">
      <c r="A68" s="1">
        <v>67</v>
      </c>
      <c r="B68" s="1" t="s">
        <v>11</v>
      </c>
      <c r="C68" s="121" t="s">
        <v>298</v>
      </c>
      <c r="D68" s="121" t="s">
        <v>253</v>
      </c>
      <c r="E68" s="6" t="s">
        <v>201</v>
      </c>
      <c r="F68" s="27" t="s">
        <v>160</v>
      </c>
      <c r="G68" s="34"/>
      <c r="H68" s="34"/>
      <c r="I68" s="34" t="s">
        <v>237</v>
      </c>
      <c r="J68" s="34" t="s">
        <v>237</v>
      </c>
      <c r="K68" s="34"/>
      <c r="L68" s="34"/>
      <c r="M68" s="1"/>
      <c r="N68" s="1"/>
    </row>
    <row r="69" spans="1:14" x14ac:dyDescent="0.25">
      <c r="A69" s="1">
        <v>68</v>
      </c>
      <c r="B69" s="1" t="s">
        <v>11</v>
      </c>
      <c r="C69" s="121" t="s">
        <v>298</v>
      </c>
      <c r="D69" s="121" t="s">
        <v>253</v>
      </c>
      <c r="E69" s="6" t="s">
        <v>189</v>
      </c>
      <c r="F69" s="27" t="s">
        <v>157</v>
      </c>
      <c r="G69" s="34" t="s">
        <v>237</v>
      </c>
      <c r="H69" s="34"/>
      <c r="I69" s="34"/>
      <c r="J69" s="34" t="s">
        <v>237</v>
      </c>
      <c r="K69" s="34"/>
      <c r="L69" s="34"/>
      <c r="M69" s="1"/>
      <c r="N69" s="1"/>
    </row>
    <row r="70" spans="1:14" x14ac:dyDescent="0.25">
      <c r="A70" s="1">
        <v>69</v>
      </c>
      <c r="B70" s="1" t="s">
        <v>11</v>
      </c>
      <c r="C70" s="121" t="s">
        <v>298</v>
      </c>
      <c r="D70" s="121" t="s">
        <v>253</v>
      </c>
      <c r="E70" s="6" t="s">
        <v>187</v>
      </c>
      <c r="F70" s="27" t="s">
        <v>160</v>
      </c>
      <c r="G70" s="34" t="s">
        <v>237</v>
      </c>
      <c r="H70" s="34"/>
      <c r="I70" s="34"/>
      <c r="J70" s="34" t="s">
        <v>237</v>
      </c>
      <c r="K70" s="34"/>
      <c r="L70" s="34"/>
      <c r="M70" s="1"/>
      <c r="N70" s="1"/>
    </row>
    <row r="71" spans="1:14" x14ac:dyDescent="0.25">
      <c r="A71" s="1">
        <v>70</v>
      </c>
      <c r="B71" s="1" t="s">
        <v>11</v>
      </c>
      <c r="C71" s="121" t="s">
        <v>298</v>
      </c>
      <c r="D71" s="121" t="s">
        <v>253</v>
      </c>
      <c r="E71" s="6" t="s">
        <v>182</v>
      </c>
      <c r="F71" s="27" t="s">
        <v>159</v>
      </c>
      <c r="G71" s="34" t="s">
        <v>237</v>
      </c>
      <c r="H71" s="34"/>
      <c r="I71" s="34" t="s">
        <v>237</v>
      </c>
      <c r="J71" s="34"/>
      <c r="K71" s="34"/>
      <c r="L71" s="34"/>
      <c r="M71" s="1"/>
      <c r="N71" s="1"/>
    </row>
    <row r="72" spans="1:14" x14ac:dyDescent="0.25">
      <c r="A72" s="1">
        <v>71</v>
      </c>
      <c r="B72" s="1" t="s">
        <v>11</v>
      </c>
      <c r="C72" s="121" t="s">
        <v>298</v>
      </c>
      <c r="D72" s="121" t="s">
        <v>253</v>
      </c>
      <c r="E72" s="6" t="s">
        <v>177</v>
      </c>
      <c r="F72" s="27" t="s">
        <v>157</v>
      </c>
      <c r="G72" s="34" t="s">
        <v>237</v>
      </c>
      <c r="H72" s="34"/>
      <c r="I72" s="34"/>
      <c r="J72" s="34" t="s">
        <v>237</v>
      </c>
      <c r="K72" s="34"/>
      <c r="L72" s="34"/>
      <c r="M72" s="1"/>
      <c r="N72" s="1"/>
    </row>
    <row r="73" spans="1:14" x14ac:dyDescent="0.25">
      <c r="A73" s="1">
        <v>72</v>
      </c>
      <c r="B73" s="1" t="s">
        <v>11</v>
      </c>
      <c r="C73" s="121" t="s">
        <v>298</v>
      </c>
      <c r="D73" s="121" t="s">
        <v>253</v>
      </c>
      <c r="E73" s="6" t="s">
        <v>188</v>
      </c>
      <c r="F73" s="27" t="s">
        <v>160</v>
      </c>
      <c r="G73" s="34" t="s">
        <v>237</v>
      </c>
      <c r="H73" s="34"/>
      <c r="I73" s="34"/>
      <c r="J73" s="34" t="s">
        <v>237</v>
      </c>
      <c r="K73" s="34"/>
      <c r="L73" s="34"/>
      <c r="M73" s="1"/>
      <c r="N73" s="1"/>
    </row>
    <row r="74" spans="1:14" x14ac:dyDescent="0.25">
      <c r="A74" s="1">
        <v>73</v>
      </c>
      <c r="B74" s="1" t="s">
        <v>11</v>
      </c>
      <c r="C74" s="121" t="s">
        <v>298</v>
      </c>
      <c r="D74" s="121" t="s">
        <v>253</v>
      </c>
      <c r="E74" s="6" t="s">
        <v>170</v>
      </c>
      <c r="F74" s="27" t="s">
        <v>159</v>
      </c>
      <c r="G74" s="34" t="s">
        <v>237</v>
      </c>
      <c r="H74" s="34"/>
      <c r="I74" s="34" t="s">
        <v>237</v>
      </c>
      <c r="J74" s="34" t="s">
        <v>237</v>
      </c>
      <c r="K74" s="34"/>
      <c r="L74" s="34"/>
      <c r="M74" s="1"/>
      <c r="N74" s="1"/>
    </row>
    <row r="75" spans="1:14" x14ac:dyDescent="0.25">
      <c r="A75" s="1">
        <v>74</v>
      </c>
      <c r="B75" s="1" t="s">
        <v>11</v>
      </c>
      <c r="C75" s="121" t="s">
        <v>298</v>
      </c>
      <c r="D75" s="121" t="s">
        <v>253</v>
      </c>
      <c r="E75" s="6" t="s">
        <v>197</v>
      </c>
      <c r="F75" s="27" t="s">
        <v>157</v>
      </c>
      <c r="G75" s="34" t="s">
        <v>237</v>
      </c>
      <c r="H75" s="34"/>
      <c r="I75" s="34"/>
      <c r="J75" s="34" t="s">
        <v>237</v>
      </c>
      <c r="K75" s="34"/>
      <c r="L75" s="34"/>
      <c r="M75" s="1"/>
      <c r="N75" s="1"/>
    </row>
    <row r="76" spans="1:14" x14ac:dyDescent="0.25">
      <c r="A76" s="1">
        <v>75</v>
      </c>
      <c r="B76" s="1" t="s">
        <v>11</v>
      </c>
      <c r="C76" s="121" t="s">
        <v>298</v>
      </c>
      <c r="D76" s="121" t="s">
        <v>253</v>
      </c>
      <c r="E76" s="6" t="s">
        <v>202</v>
      </c>
      <c r="F76" s="27" t="s">
        <v>158</v>
      </c>
      <c r="G76" s="34"/>
      <c r="H76" s="34" t="s">
        <v>237</v>
      </c>
      <c r="I76" s="34"/>
      <c r="J76" s="34"/>
      <c r="K76" s="34" t="s">
        <v>237</v>
      </c>
      <c r="L76" s="34"/>
      <c r="M76" s="1"/>
      <c r="N76" s="1"/>
    </row>
  </sheetData>
  <autoFilter ref="A1:N1"/>
  <phoneticPr fontId="11" type="noConversion"/>
  <dataValidations count="1">
    <dataValidation type="list" allowBlank="1" showInputMessage="1" showErrorMessage="1" sqref="F2:F76">
      <formula1>$G$1:$N$1</formula1>
    </dataValidation>
  </dataValidations>
  <pageMargins left="0.70866141732283472" right="0.70866141732283472" top="0.74803149606299213" bottom="0.74803149606299213" header="0.31496062992125984" footer="0.31496062992125984"/>
  <pageSetup scale="58"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13"/>
  <sheetViews>
    <sheetView tabSelected="1" zoomScale="77" zoomScaleNormal="77" workbookViewId="0">
      <selection activeCell="E20" sqref="E20"/>
    </sheetView>
  </sheetViews>
  <sheetFormatPr defaultColWidth="11.42578125" defaultRowHeight="15" x14ac:dyDescent="0.25"/>
  <cols>
    <col min="1" max="1" width="19" bestFit="1" customWidth="1"/>
    <col min="2" max="2" width="12.85546875" customWidth="1"/>
    <col min="5" max="5" width="12.28515625" customWidth="1"/>
    <col min="11" max="11" width="17.85546875" bestFit="1" customWidth="1"/>
  </cols>
  <sheetData>
    <row r="1" spans="1:19" x14ac:dyDescent="0.25">
      <c r="A1" s="1" t="s">
        <v>32</v>
      </c>
      <c r="B1" s="17" t="s">
        <v>157</v>
      </c>
      <c r="C1" s="17" t="s">
        <v>158</v>
      </c>
      <c r="D1" s="17" t="s">
        <v>159</v>
      </c>
      <c r="E1" s="17" t="s">
        <v>160</v>
      </c>
      <c r="F1" s="17" t="s">
        <v>161</v>
      </c>
      <c r="G1" s="17" t="s">
        <v>162</v>
      </c>
      <c r="H1" s="17" t="s">
        <v>272</v>
      </c>
      <c r="I1" s="17" t="s">
        <v>273</v>
      </c>
      <c r="K1" s="1" t="s">
        <v>32</v>
      </c>
      <c r="L1" s="17" t="s">
        <v>157</v>
      </c>
      <c r="M1" s="17" t="s">
        <v>158</v>
      </c>
      <c r="N1" s="17" t="s">
        <v>159</v>
      </c>
      <c r="O1" s="17" t="s">
        <v>160</v>
      </c>
      <c r="P1" s="17" t="s">
        <v>161</v>
      </c>
      <c r="Q1" s="17" t="s">
        <v>162</v>
      </c>
      <c r="R1" s="17" t="s">
        <v>272</v>
      </c>
      <c r="S1" s="17" t="s">
        <v>273</v>
      </c>
    </row>
    <row r="2" spans="1:19" x14ac:dyDescent="0.25">
      <c r="A2" s="1" t="s">
        <v>275</v>
      </c>
      <c r="B2" s="17" t="str">
        <f>+VLOOKUP(B1,'Sector Maquina'!$A:$B,2,0)</f>
        <v>MF Medical</v>
      </c>
      <c r="C2" s="17" t="str">
        <f>+VLOOKUP(C1,'Sector Maquina'!$A:$B,2,0)</f>
        <v>MF Medical</v>
      </c>
      <c r="D2" s="17" t="str">
        <f>+VLOOKUP(D1,'Sector Maquina'!$A:$B,2,0)</f>
        <v>MF Medical</v>
      </c>
      <c r="E2" s="17" t="str">
        <f>+VLOOKUP(E1,'Sector Maquina'!$A:$B,2,0)</f>
        <v>MF Medical</v>
      </c>
      <c r="F2" s="17" t="str">
        <f>+VLOOKUP(F1,'Sector Maquina'!$A:$B,2,0)</f>
        <v>MF Medical</v>
      </c>
      <c r="G2" s="17" t="str">
        <f>+VLOOKUP(G1,'Sector Maquina'!$A:$B,2,0)</f>
        <v>MF Medical</v>
      </c>
      <c r="H2" s="17" t="str">
        <f>+VLOOKUP(H1,'Sector Maquina'!$A:$B,2,0)</f>
        <v>Proveedor 1</v>
      </c>
      <c r="I2" s="17" t="str">
        <f>+VLOOKUP(I1,'Sector Maquina'!$A:$B,2,0)</f>
        <v>Proveedor 2</v>
      </c>
      <c r="K2" s="1"/>
      <c r="L2" s="17"/>
      <c r="M2" s="17"/>
      <c r="N2" s="17"/>
      <c r="O2" s="17"/>
      <c r="P2" s="17"/>
      <c r="Q2" s="17"/>
      <c r="R2" s="17"/>
      <c r="S2" s="17"/>
    </row>
    <row r="3" spans="1:19" x14ac:dyDescent="0.25">
      <c r="A3" s="1" t="s">
        <v>33</v>
      </c>
      <c r="B3" s="4">
        <v>1</v>
      </c>
      <c r="C3" s="4">
        <v>1</v>
      </c>
      <c r="D3" s="4">
        <v>1</v>
      </c>
      <c r="E3" s="4">
        <v>1</v>
      </c>
      <c r="F3" s="4">
        <v>1</v>
      </c>
      <c r="G3" s="4">
        <v>1</v>
      </c>
      <c r="H3" s="4">
        <v>1</v>
      </c>
      <c r="I3" s="4">
        <v>2</v>
      </c>
      <c r="K3" s="1" t="s">
        <v>33</v>
      </c>
      <c r="L3" s="4">
        <v>1</v>
      </c>
      <c r="M3" s="4">
        <v>1</v>
      </c>
      <c r="N3" s="4">
        <v>1</v>
      </c>
      <c r="O3" s="4">
        <v>1</v>
      </c>
      <c r="P3" s="4">
        <v>1</v>
      </c>
      <c r="Q3" s="4">
        <v>1</v>
      </c>
      <c r="R3" s="4">
        <v>1</v>
      </c>
      <c r="S3" s="4">
        <v>2</v>
      </c>
    </row>
    <row r="4" spans="1:19" x14ac:dyDescent="0.25">
      <c r="A4" s="17" t="s">
        <v>301</v>
      </c>
      <c r="B4" s="18">
        <f>+PorcentajeOcupacion(A4,$B$1,'Matriz Tiempos'!$A$1:$M$76)</f>
        <v>0</v>
      </c>
      <c r="C4" s="18">
        <f>+PorcentajeOcupacion(A4,$C$1,'Matriz Tiempos'!$A$1:$M$76)</f>
        <v>0</v>
      </c>
      <c r="D4" s="18">
        <f>+PorcentajeOcupacion(A4,$D$1,'Matriz Tiempos'!$A$1:$M$76)</f>
        <v>0</v>
      </c>
      <c r="E4" s="18">
        <f>+PorcentajeOcupacion(A4,$E$1,'Matriz Tiempos'!$A$1:$M$76)</f>
        <v>0</v>
      </c>
      <c r="F4" s="18">
        <f>+PorcentajeOcupacion(A4,$F$1,'Matriz Tiempos'!$A$1:$M$76)</f>
        <v>0</v>
      </c>
      <c r="G4" s="18">
        <f>+PorcentajeOcupacion(A4,$G$1,'Matriz Tiempos'!$A$1:$M$76)</f>
        <v>0</v>
      </c>
      <c r="H4" s="18">
        <f>+PorcentajeOcupacion(A4,$H$1,'Matriz Tiempos'!$A$1:$M$76)</f>
        <v>0</v>
      </c>
      <c r="I4" s="18">
        <f>+PorcentajeOcupacion(A4,$I$1,'Matriz Tiempos'!$A$1:$M$76)</f>
        <v>0</v>
      </c>
      <c r="K4" s="17" t="s">
        <v>301</v>
      </c>
      <c r="L4" s="4">
        <f>B4/$B$11</f>
        <v>0</v>
      </c>
      <c r="M4" s="4">
        <f t="shared" ref="M4:S4" si="0">C4/C11</f>
        <v>0</v>
      </c>
      <c r="N4" s="4">
        <f t="shared" si="0"/>
        <v>0</v>
      </c>
      <c r="O4" s="4">
        <f t="shared" si="0"/>
        <v>0</v>
      </c>
      <c r="P4" s="4">
        <f t="shared" si="0"/>
        <v>0</v>
      </c>
      <c r="Q4" s="4">
        <f t="shared" si="0"/>
        <v>0</v>
      </c>
      <c r="R4" s="4">
        <f t="shared" si="0"/>
        <v>0</v>
      </c>
      <c r="S4" s="4">
        <f t="shared" si="0"/>
        <v>0</v>
      </c>
    </row>
    <row r="5" spans="1:19" x14ac:dyDescent="0.25">
      <c r="A5" s="17" t="s">
        <v>298</v>
      </c>
      <c r="B5" s="18">
        <f>+PorcentajeOcupacion(A5,$B$1,'Matriz Tiempos'!$A$1:$M$76)</f>
        <v>12.325262183305433</v>
      </c>
      <c r="C5" s="18">
        <f>+PorcentajeOcupacion(A5,$C$1,'Matriz Tiempos'!$A$1:$M$76)</f>
        <v>8.0862588160755777</v>
      </c>
      <c r="D5" s="18">
        <f>+PorcentajeOcupacion(A5,$D$1,'Matriz Tiempos'!$A$1:$M$76)</f>
        <v>6.0312033646043721</v>
      </c>
      <c r="E5" s="18">
        <f>+PorcentajeOcupacion(A5,$E$1,'Matriz Tiempos'!$A$1:$M$76)</f>
        <v>12.690001902525783</v>
      </c>
      <c r="F5" s="18">
        <f>+PorcentajeOcupacion(A5,$F$1,'Matriz Tiempos'!$A$1:$M$76)</f>
        <v>9.698659182302185</v>
      </c>
      <c r="G5" s="18">
        <f>+PorcentajeOcupacion(A5,$G$1,'Matriz Tiempos'!$A$1:$M$76)</f>
        <v>4.6612095093813117</v>
      </c>
      <c r="H5" s="18">
        <f>+PorcentajeOcupacion(A5,$H$1,'Matriz Tiempos'!$A$1:$M$76)</f>
        <v>0</v>
      </c>
      <c r="I5" s="18">
        <f>+PorcentajeOcupacion(A5,$I$1,'Matriz Tiempos'!$A$1:$M$76)</f>
        <v>0</v>
      </c>
      <c r="K5" s="17" t="s">
        <v>298</v>
      </c>
      <c r="L5" s="4">
        <f>B5/$B$11</f>
        <v>0.57326800852583415</v>
      </c>
      <c r="M5" s="4">
        <f t="shared" ref="M5:S5" si="1">C5/C11</f>
        <v>0.37610506121281756</v>
      </c>
      <c r="N5" s="4">
        <f t="shared" si="1"/>
        <v>0.28052108672578474</v>
      </c>
      <c r="O5" s="4">
        <f t="shared" si="1"/>
        <v>0.59023264662910613</v>
      </c>
      <c r="P5" s="4">
        <f t="shared" si="1"/>
        <v>0.45110042708382259</v>
      </c>
      <c r="Q5" s="4">
        <f t="shared" si="1"/>
        <v>0.2168004422968052</v>
      </c>
      <c r="R5" s="4">
        <f t="shared" si="1"/>
        <v>0</v>
      </c>
      <c r="S5" s="4">
        <f t="shared" si="1"/>
        <v>0</v>
      </c>
    </row>
    <row r="6" spans="1:19" x14ac:dyDescent="0.25">
      <c r="A6" s="17" t="s">
        <v>299</v>
      </c>
      <c r="B6" s="18">
        <f>+PorcentajeOcupacion(A6,$B$1,'Matriz Tiempos'!$A$1:$M$76)</f>
        <v>0.28547268875626741</v>
      </c>
      <c r="C6" s="18">
        <f>+PorcentajeOcupacion(A6,$C$1,'Matriz Tiempos'!$A$1:$M$76)</f>
        <v>1.8202247329354688</v>
      </c>
      <c r="D6" s="18">
        <f>+PorcentajeOcupacion(A6,$D$1,'Matriz Tiempos'!$A$1:$M$76)</f>
        <v>0.63797704417920142</v>
      </c>
      <c r="E6" s="18">
        <f>+PorcentajeOcupacion(A6,$E$1,'Matriz Tiempos'!$A$1:$M$76)</f>
        <v>0.34163435542293408</v>
      </c>
      <c r="F6" s="18">
        <f>+PorcentajeOcupacion(A6,$F$1,'Matriz Tiempos'!$A$1:$M$76)</f>
        <v>0</v>
      </c>
      <c r="G6" s="18">
        <f>+PorcentajeOcupacion(A6,$G$1,'Matriz Tiempos'!$A$1:$M$76)</f>
        <v>0</v>
      </c>
      <c r="H6" s="18">
        <f>+PorcentajeOcupacion(A6,$H$1,'Matriz Tiempos'!$A$1:$M$76)</f>
        <v>0</v>
      </c>
      <c r="I6" s="18">
        <f>+PorcentajeOcupacion(A6,$I$1,'Matriz Tiempos'!$A$1:$M$76)</f>
        <v>0</v>
      </c>
      <c r="K6" s="17" t="s">
        <v>299</v>
      </c>
      <c r="L6" s="4">
        <f>B6/$B$11</f>
        <v>1.3277799477035694E-2</v>
      </c>
      <c r="M6" s="4">
        <f t="shared" ref="M6:S6" si="2">C6/C11</f>
        <v>8.4661615485370642E-2</v>
      </c>
      <c r="N6" s="4">
        <f t="shared" si="2"/>
        <v>2.9673350892055882E-2</v>
      </c>
      <c r="O6" s="4">
        <f t="shared" si="2"/>
        <v>1.5889970019671351E-2</v>
      </c>
      <c r="P6" s="4">
        <f t="shared" si="2"/>
        <v>0</v>
      </c>
      <c r="Q6" s="4">
        <f t="shared" si="2"/>
        <v>0</v>
      </c>
      <c r="R6" s="4">
        <f t="shared" si="2"/>
        <v>0</v>
      </c>
      <c r="S6" s="4">
        <f t="shared" si="2"/>
        <v>0</v>
      </c>
    </row>
    <row r="7" spans="1:19" x14ac:dyDescent="0.25">
      <c r="A7" s="17" t="s">
        <v>300</v>
      </c>
      <c r="B7" s="18">
        <f>+PorcentajeOcupacion(A7,$B$1,'Matriz Tiempos'!$A$1:$M$76)</f>
        <v>4.9165365525672975</v>
      </c>
      <c r="C7" s="18">
        <f>+PorcentajeOcupacion(A7,$C$1,'Matriz Tiempos'!$A$1:$M$76)</f>
        <v>1.7222052147933531</v>
      </c>
      <c r="D7" s="18">
        <f>+PorcentajeOcupacion(A7,$D$1,'Matriz Tiempos'!$A$1:$M$76)</f>
        <v>1.9336268393147646</v>
      </c>
      <c r="E7" s="18">
        <f>+PorcentajeOcupacion(A7,$E$1,'Matriz Tiempos'!$A$1:$M$76)</f>
        <v>2.119101692199564</v>
      </c>
      <c r="F7" s="18">
        <f>+PorcentajeOcupacion(A7,$F$1,'Matriz Tiempos'!$A$1:$M$76)</f>
        <v>1.8019093814600198</v>
      </c>
      <c r="G7" s="18">
        <f>+PorcentajeOcupacion(A7,$G$1,'Matriz Tiempos'!$A$1:$M$76)</f>
        <v>1.5400932703489085</v>
      </c>
      <c r="H7" s="18">
        <f>+PorcentajeOcupacion(A7,$H$1,'Matriz Tiempos'!$A$1:$M$76)</f>
        <v>0</v>
      </c>
      <c r="I7" s="18">
        <f>+PorcentajeOcupacion(A7,$I$1,'Matriz Tiempos'!$A$1:$M$76)</f>
        <v>0</v>
      </c>
      <c r="K7" s="17" t="s">
        <v>300</v>
      </c>
      <c r="L7" s="4">
        <f>B7/$B$11</f>
        <v>0.22867611872406035</v>
      </c>
      <c r="M7" s="4">
        <f t="shared" ref="M7:S7" si="3">C7/C11</f>
        <v>8.0102568129923404E-2</v>
      </c>
      <c r="N7" s="4">
        <f t="shared" si="3"/>
        <v>8.9936132061151849E-2</v>
      </c>
      <c r="O7" s="4">
        <f t="shared" si="3"/>
        <v>9.8562869404630882E-2</v>
      </c>
      <c r="P7" s="4">
        <f t="shared" si="3"/>
        <v>8.3809738672559059E-2</v>
      </c>
      <c r="Q7" s="4">
        <f t="shared" si="3"/>
        <v>7.1632245132507377E-2</v>
      </c>
      <c r="R7" s="4">
        <f t="shared" si="3"/>
        <v>0</v>
      </c>
      <c r="S7" s="4">
        <f t="shared" si="3"/>
        <v>0</v>
      </c>
    </row>
    <row r="8" spans="1:19" x14ac:dyDescent="0.25">
      <c r="A8" s="17" t="s">
        <v>34</v>
      </c>
      <c r="B8" s="18">
        <f>+PorcentajeOcupacion(A8,$B$1,'Matriz Tiempos'!$A$1:$M$76)</f>
        <v>0</v>
      </c>
      <c r="C8" s="18">
        <f>+PorcentajeOcupacion(A8,$C$1,'Matriz Tiempos'!$A$1:$M$76)</f>
        <v>0</v>
      </c>
      <c r="D8" s="18">
        <f>+PorcentajeOcupacion(A8,$D$1,'Matriz Tiempos'!$A$1:$M$76)</f>
        <v>0</v>
      </c>
      <c r="E8" s="18">
        <f>+PorcentajeOcupacion(A8,$E$1,'Matriz Tiempos'!$A$1:$M$76)</f>
        <v>0</v>
      </c>
      <c r="F8" s="18">
        <f>+PorcentajeOcupacion(A8,$F$1,'Matriz Tiempos'!$A$1:$M$76)</f>
        <v>0</v>
      </c>
      <c r="G8" s="18">
        <f>+PorcentajeOcupacion(A8,$G$1,'Matriz Tiempos'!$A$1:$M$76)</f>
        <v>0</v>
      </c>
      <c r="H8" s="18">
        <f>+PorcentajeOcupacion(A8,$H$1,'Matriz Tiempos'!$A$1:$M$76)</f>
        <v>0</v>
      </c>
      <c r="I8" s="18">
        <f>+PorcentajeOcupacion(A8,$I$1,'Matriz Tiempos'!$A$1:$M$76)</f>
        <v>0</v>
      </c>
      <c r="K8" s="17" t="s">
        <v>34</v>
      </c>
      <c r="L8" s="18">
        <v>0</v>
      </c>
      <c r="M8" s="18">
        <v>0</v>
      </c>
      <c r="N8" s="18">
        <v>0</v>
      </c>
      <c r="O8" s="18">
        <v>0</v>
      </c>
      <c r="P8" s="18">
        <v>0</v>
      </c>
      <c r="Q8" s="18">
        <v>0</v>
      </c>
      <c r="R8" s="18">
        <v>0</v>
      </c>
      <c r="S8" s="18">
        <v>1</v>
      </c>
    </row>
    <row r="9" spans="1:19" x14ac:dyDescent="0.25">
      <c r="A9" s="1" t="s">
        <v>10</v>
      </c>
      <c r="B9" s="18">
        <f t="shared" ref="B9:I9" si="4">SUM(B4:B7)</f>
        <v>17.527271424628999</v>
      </c>
      <c r="C9" s="18">
        <f t="shared" si="4"/>
        <v>11.6286887638044</v>
      </c>
      <c r="D9" s="18">
        <f t="shared" si="4"/>
        <v>8.6028072480983369</v>
      </c>
      <c r="E9" s="18">
        <f t="shared" si="4"/>
        <v>15.150737950148281</v>
      </c>
      <c r="F9" s="18">
        <f t="shared" si="4"/>
        <v>11.500568563762204</v>
      </c>
      <c r="G9" s="18">
        <f t="shared" si="4"/>
        <v>6.20130277973022</v>
      </c>
      <c r="H9" s="18">
        <f t="shared" si="4"/>
        <v>0</v>
      </c>
      <c r="I9" s="18">
        <f t="shared" si="4"/>
        <v>0</v>
      </c>
      <c r="K9" s="1" t="s">
        <v>10</v>
      </c>
      <c r="L9" s="4">
        <f t="shared" ref="L9:S9" si="5">SUM(L4:L8)</f>
        <v>0.81522192672693017</v>
      </c>
      <c r="M9" s="4">
        <f t="shared" si="5"/>
        <v>0.54086924482811161</v>
      </c>
      <c r="N9" s="4">
        <f t="shared" si="5"/>
        <v>0.40013056967899246</v>
      </c>
      <c r="O9" s="4">
        <f t="shared" si="5"/>
        <v>0.70468548605340831</v>
      </c>
      <c r="P9" s="4">
        <f t="shared" si="5"/>
        <v>0.53491016575638162</v>
      </c>
      <c r="Q9" s="4">
        <f t="shared" si="5"/>
        <v>0.28843268742931261</v>
      </c>
      <c r="R9" s="4">
        <f t="shared" si="5"/>
        <v>0</v>
      </c>
      <c r="S9" s="4">
        <f t="shared" si="5"/>
        <v>1</v>
      </c>
    </row>
    <row r="10" spans="1:19" x14ac:dyDescent="0.25">
      <c r="A10" s="17" t="s">
        <v>35</v>
      </c>
      <c r="B10" s="19"/>
      <c r="C10" s="19"/>
      <c r="D10" s="19"/>
      <c r="E10" s="19"/>
      <c r="F10" s="19"/>
      <c r="G10" s="19"/>
      <c r="H10" s="19"/>
      <c r="I10" s="19"/>
      <c r="K10" s="1" t="s">
        <v>32</v>
      </c>
      <c r="L10" s="17" t="s">
        <v>157</v>
      </c>
      <c r="M10" s="17" t="s">
        <v>158</v>
      </c>
      <c r="N10" s="17" t="s">
        <v>159</v>
      </c>
      <c r="O10" s="17" t="s">
        <v>160</v>
      </c>
      <c r="P10" s="17" t="s">
        <v>161</v>
      </c>
      <c r="Q10" s="17" t="s">
        <v>162</v>
      </c>
      <c r="R10" s="17" t="s">
        <v>272</v>
      </c>
      <c r="S10" s="17" t="s">
        <v>273</v>
      </c>
    </row>
    <row r="11" spans="1:19" x14ac:dyDescent="0.25">
      <c r="A11" s="1" t="s">
        <v>36</v>
      </c>
      <c r="B11" s="20">
        <f>+VLOOKUP(B2,'Capacidad '!K6:N10,4,0)</f>
        <v>21.5</v>
      </c>
      <c r="C11" s="20">
        <f>'Capacidad '!$N$7</f>
        <v>21.5</v>
      </c>
      <c r="D11" s="20">
        <f>'Capacidad '!$N$7</f>
        <v>21.5</v>
      </c>
      <c r="E11" s="20">
        <f>'Capacidad '!$N$7</f>
        <v>21.5</v>
      </c>
      <c r="F11" s="20">
        <f>'Capacidad '!$N$7</f>
        <v>21.5</v>
      </c>
      <c r="G11" s="20">
        <f>'Capacidad '!$N$7</f>
        <v>21.5</v>
      </c>
      <c r="H11" s="20">
        <f>'Capacidad '!$N$7</f>
        <v>21.5</v>
      </c>
      <c r="I11" s="20">
        <f>'Capacidad '!$N$7</f>
        <v>21.5</v>
      </c>
      <c r="K11" s="1" t="s">
        <v>33</v>
      </c>
      <c r="L11" s="4">
        <v>1</v>
      </c>
      <c r="M11" s="4">
        <v>1</v>
      </c>
      <c r="N11" s="4">
        <v>1</v>
      </c>
      <c r="O11" s="4">
        <v>1</v>
      </c>
      <c r="P11" s="4">
        <v>1</v>
      </c>
      <c r="Q11" s="4">
        <v>1</v>
      </c>
      <c r="R11" s="4">
        <v>1</v>
      </c>
      <c r="S11" s="4">
        <v>2</v>
      </c>
    </row>
    <row r="12" spans="1:19" x14ac:dyDescent="0.25">
      <c r="A12" s="17" t="s">
        <v>37</v>
      </c>
      <c r="B12" s="21">
        <f>B9/B11</f>
        <v>0.81522192672693017</v>
      </c>
      <c r="C12" s="21">
        <f t="shared" ref="C12:H12" si="6">C9/C11</f>
        <v>0.54086924482811161</v>
      </c>
      <c r="D12" s="21">
        <f t="shared" si="6"/>
        <v>0.40013056967899241</v>
      </c>
      <c r="E12" s="21">
        <f t="shared" si="6"/>
        <v>0.70468548605340842</v>
      </c>
      <c r="F12" s="21">
        <f t="shared" si="6"/>
        <v>0.53491016575638162</v>
      </c>
      <c r="G12" s="21">
        <f t="shared" si="6"/>
        <v>0.28843268742931255</v>
      </c>
      <c r="H12" s="21">
        <f t="shared" si="6"/>
        <v>0</v>
      </c>
      <c r="I12" s="21"/>
      <c r="K12" s="1" t="s">
        <v>2</v>
      </c>
      <c r="L12" s="22">
        <f>+L4+L5+L6+L7</f>
        <v>0.81522192672693017</v>
      </c>
      <c r="M12" s="22">
        <f t="shared" ref="M12:S12" si="7">+M4+M5+M6+M7</f>
        <v>0.54086924482811161</v>
      </c>
      <c r="N12" s="22">
        <f t="shared" si="7"/>
        <v>0.40013056967899246</v>
      </c>
      <c r="O12" s="22">
        <f t="shared" si="7"/>
        <v>0.70468548605340831</v>
      </c>
      <c r="P12" s="22">
        <f t="shared" si="7"/>
        <v>0.53491016575638162</v>
      </c>
      <c r="Q12" s="22">
        <f t="shared" si="7"/>
        <v>0.28843268742931261</v>
      </c>
      <c r="R12" s="22">
        <f t="shared" si="7"/>
        <v>0</v>
      </c>
      <c r="S12" s="22">
        <f t="shared" si="7"/>
        <v>0</v>
      </c>
    </row>
    <row r="13" spans="1:19" x14ac:dyDescent="0.25">
      <c r="A13" s="1" t="s">
        <v>33</v>
      </c>
      <c r="B13" s="4">
        <v>1</v>
      </c>
      <c r="C13" s="4">
        <v>1</v>
      </c>
      <c r="D13" s="4">
        <v>1</v>
      </c>
      <c r="E13" s="4">
        <v>1</v>
      </c>
      <c r="F13" s="4">
        <v>1</v>
      </c>
      <c r="G13" s="4">
        <v>1</v>
      </c>
      <c r="H13" s="4">
        <v>1</v>
      </c>
      <c r="I13" s="4">
        <v>1</v>
      </c>
      <c r="K13" s="1" t="s">
        <v>3</v>
      </c>
      <c r="L13" s="22" t="e">
        <f>L7+#REF!</f>
        <v>#REF!</v>
      </c>
      <c r="M13" s="22" t="e">
        <f>M7+#REF!</f>
        <v>#REF!</v>
      </c>
      <c r="N13" s="22" t="e">
        <f>N7+#REF!</f>
        <v>#REF!</v>
      </c>
      <c r="O13" s="22" t="e">
        <f>O7+#REF!</f>
        <v>#REF!</v>
      </c>
      <c r="P13" s="22" t="e">
        <f>P7+#REF!</f>
        <v>#REF!</v>
      </c>
      <c r="Q13" s="22" t="e">
        <f>Q7+#REF!</f>
        <v>#REF!</v>
      </c>
      <c r="R13" s="22" t="e">
        <f>R7+#REF!</f>
        <v>#REF!</v>
      </c>
      <c r="S13" s="22" t="e">
        <f>S7+#REF!</f>
        <v>#REF!</v>
      </c>
    </row>
  </sheetData>
  <phoneticPr fontId="1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R85"/>
  <sheetViews>
    <sheetView topLeftCell="AE1" zoomScale="85" zoomScaleNormal="85" workbookViewId="0">
      <selection activeCell="AP17" sqref="AP17"/>
    </sheetView>
  </sheetViews>
  <sheetFormatPr defaultColWidth="11.42578125" defaultRowHeight="15" x14ac:dyDescent="0.25"/>
  <cols>
    <col min="2" max="2" width="15.140625" bestFit="1" customWidth="1"/>
    <col min="3" max="3" width="22.42578125" bestFit="1" customWidth="1"/>
    <col min="4" max="4" width="20.42578125" customWidth="1"/>
    <col min="5" max="5" width="13.140625" bestFit="1" customWidth="1"/>
    <col min="6" max="6" width="23" customWidth="1"/>
    <col min="7" max="7" width="13" customWidth="1"/>
    <col min="8" max="8" width="16.42578125" bestFit="1" customWidth="1"/>
    <col min="11" max="11" width="14.85546875" bestFit="1" customWidth="1"/>
    <col min="12" max="12" width="16.42578125" bestFit="1" customWidth="1"/>
    <col min="13" max="13" width="12.42578125" customWidth="1"/>
    <col min="15" max="15" width="16.42578125" bestFit="1" customWidth="1"/>
    <col min="30" max="30" width="68.140625" bestFit="1" customWidth="1"/>
    <col min="31" max="31" width="18.7109375" bestFit="1" customWidth="1"/>
    <col min="32" max="32" width="19.28515625" bestFit="1" customWidth="1"/>
    <col min="40" max="40" width="16.42578125" bestFit="1" customWidth="1"/>
    <col min="44" max="44" width="13.5703125" bestFit="1" customWidth="1"/>
  </cols>
  <sheetData>
    <row r="1" spans="1:44" ht="15" customHeight="1" x14ac:dyDescent="0.25">
      <c r="A1" s="162" t="s">
        <v>164</v>
      </c>
      <c r="B1" s="162" t="s">
        <v>13</v>
      </c>
      <c r="C1" s="162" t="s">
        <v>0</v>
      </c>
      <c r="D1" s="162" t="s">
        <v>14</v>
      </c>
      <c r="E1" s="162"/>
      <c r="F1" s="162" t="s">
        <v>15</v>
      </c>
      <c r="G1" s="162" t="s">
        <v>38</v>
      </c>
      <c r="H1" s="71"/>
      <c r="I1" s="166" t="s">
        <v>261</v>
      </c>
      <c r="J1" s="167"/>
      <c r="K1" s="170" t="s">
        <v>265</v>
      </c>
      <c r="L1" s="102"/>
      <c r="M1" s="166" t="s">
        <v>266</v>
      </c>
      <c r="N1" s="167"/>
      <c r="O1" s="103"/>
      <c r="P1" s="163" t="s">
        <v>264</v>
      </c>
      <c r="Q1" s="164"/>
      <c r="R1" s="164"/>
      <c r="S1" s="164"/>
      <c r="T1" s="164"/>
      <c r="U1" s="165"/>
      <c r="V1" s="166" t="s">
        <v>267</v>
      </c>
      <c r="W1" s="167"/>
      <c r="X1" s="163" t="s">
        <v>269</v>
      </c>
      <c r="Y1" s="164"/>
      <c r="Z1" s="164"/>
      <c r="AA1" s="164"/>
      <c r="AB1" s="164"/>
      <c r="AC1" s="165"/>
      <c r="AD1" s="176" t="s">
        <v>16</v>
      </c>
      <c r="AE1" s="175" t="s">
        <v>261</v>
      </c>
      <c r="AF1" s="175"/>
      <c r="AG1" s="175" t="s">
        <v>262</v>
      </c>
      <c r="AH1" s="175"/>
      <c r="AI1" s="175" t="s">
        <v>268</v>
      </c>
      <c r="AJ1" s="175"/>
    </row>
    <row r="2" spans="1:44" ht="51" customHeight="1" x14ac:dyDescent="0.25">
      <c r="A2" s="162"/>
      <c r="B2" s="162"/>
      <c r="C2" s="162"/>
      <c r="D2" s="162"/>
      <c r="E2" s="162"/>
      <c r="F2" s="162"/>
      <c r="G2" s="162"/>
      <c r="H2" s="72"/>
      <c r="I2" s="168"/>
      <c r="J2" s="169"/>
      <c r="K2" s="171"/>
      <c r="L2" s="104"/>
      <c r="M2" s="168"/>
      <c r="N2" s="169"/>
      <c r="O2" s="105"/>
      <c r="P2" s="98">
        <v>1</v>
      </c>
      <c r="Q2" s="99"/>
      <c r="R2" s="172">
        <v>2</v>
      </c>
      <c r="S2" s="173"/>
      <c r="T2" s="172">
        <v>3</v>
      </c>
      <c r="U2" s="174"/>
      <c r="V2" s="168"/>
      <c r="W2" s="169"/>
      <c r="X2" s="98">
        <v>1</v>
      </c>
      <c r="Y2" s="99"/>
      <c r="Z2" s="172">
        <v>2</v>
      </c>
      <c r="AA2" s="173"/>
      <c r="AB2" s="172">
        <v>3</v>
      </c>
      <c r="AC2" s="174"/>
      <c r="AD2" s="177"/>
      <c r="AE2" s="175"/>
      <c r="AF2" s="175"/>
      <c r="AG2" s="175"/>
      <c r="AH2" s="175"/>
      <c r="AI2" s="175"/>
      <c r="AJ2" s="175"/>
    </row>
    <row r="3" spans="1:44" ht="30.75" thickBot="1" x14ac:dyDescent="0.3">
      <c r="A3" s="36"/>
      <c r="B3" s="36"/>
      <c r="C3" s="70"/>
      <c r="D3" s="68"/>
      <c r="E3" s="66"/>
      <c r="F3" s="66"/>
      <c r="G3" s="66"/>
      <c r="H3" s="67"/>
      <c r="I3" s="74" t="s">
        <v>17</v>
      </c>
      <c r="J3" s="75" t="s">
        <v>1</v>
      </c>
      <c r="K3" s="83" t="s">
        <v>39</v>
      </c>
      <c r="L3" s="100"/>
      <c r="M3" s="74" t="s">
        <v>263</v>
      </c>
      <c r="N3" s="75" t="s">
        <v>1</v>
      </c>
      <c r="O3" s="101"/>
      <c r="P3" s="74" t="s">
        <v>17</v>
      </c>
      <c r="Q3" s="69" t="s">
        <v>1</v>
      </c>
      <c r="R3" s="69" t="s">
        <v>17</v>
      </c>
      <c r="S3" s="69" t="s">
        <v>1</v>
      </c>
      <c r="T3" s="69" t="s">
        <v>17</v>
      </c>
      <c r="U3" s="75" t="s">
        <v>1</v>
      </c>
      <c r="V3" s="74" t="s">
        <v>17</v>
      </c>
      <c r="W3" s="75" t="s">
        <v>1</v>
      </c>
      <c r="X3" s="74" t="s">
        <v>17</v>
      </c>
      <c r="Y3" s="69" t="s">
        <v>1</v>
      </c>
      <c r="Z3" s="69" t="s">
        <v>17</v>
      </c>
      <c r="AA3" s="69" t="s">
        <v>1</v>
      </c>
      <c r="AB3" s="69" t="s">
        <v>17</v>
      </c>
      <c r="AC3" s="75" t="s">
        <v>1</v>
      </c>
      <c r="AD3" s="94"/>
      <c r="AE3" s="69" t="s">
        <v>249</v>
      </c>
      <c r="AF3" s="69" t="s">
        <v>5</v>
      </c>
      <c r="AG3" s="69" t="s">
        <v>249</v>
      </c>
      <c r="AH3" s="69" t="s">
        <v>5</v>
      </c>
      <c r="AI3" s="69" t="s">
        <v>155</v>
      </c>
      <c r="AJ3" s="69" t="s">
        <v>156</v>
      </c>
    </row>
    <row r="4" spans="1:44" ht="15.75" thickBot="1" x14ac:dyDescent="0.3">
      <c r="A4" s="1">
        <v>1</v>
      </c>
      <c r="B4" s="1" t="s">
        <v>11</v>
      </c>
      <c r="C4" s="1" t="s">
        <v>256</v>
      </c>
      <c r="D4" s="1" t="s">
        <v>231</v>
      </c>
      <c r="E4" s="9" t="s">
        <v>90</v>
      </c>
      <c r="F4" s="124" t="s">
        <v>45</v>
      </c>
      <c r="G4" s="9" t="str">
        <f>VLOOKUP(D4,'Asignacion Maquina'!$E$2:$F$76,2,0)</f>
        <v>Torno 4</v>
      </c>
      <c r="H4" s="73" t="s">
        <v>270</v>
      </c>
      <c r="I4" s="76">
        <v>0</v>
      </c>
      <c r="J4" s="111">
        <v>4575.8461538461543</v>
      </c>
      <c r="K4" s="84">
        <v>1</v>
      </c>
      <c r="L4" s="73" t="s">
        <v>271</v>
      </c>
      <c r="M4" s="76">
        <v>0</v>
      </c>
      <c r="N4" s="79">
        <v>381</v>
      </c>
      <c r="O4" s="73" t="s">
        <v>271</v>
      </c>
      <c r="P4" s="76">
        <v>1</v>
      </c>
      <c r="Q4" s="2">
        <v>15</v>
      </c>
      <c r="R4" s="2">
        <v>1</v>
      </c>
      <c r="S4" s="2">
        <v>25</v>
      </c>
      <c r="T4" s="2">
        <v>1</v>
      </c>
      <c r="U4" s="77">
        <v>18</v>
      </c>
      <c r="V4" s="78">
        <v>0</v>
      </c>
      <c r="W4" s="79">
        <v>0</v>
      </c>
      <c r="X4" s="78">
        <v>1</v>
      </c>
      <c r="Y4" s="1">
        <v>0</v>
      </c>
      <c r="Z4" s="1">
        <v>1</v>
      </c>
      <c r="AA4" s="1">
        <v>11</v>
      </c>
      <c r="AB4" s="1">
        <v>1</v>
      </c>
      <c r="AC4" s="79">
        <v>3</v>
      </c>
      <c r="AD4" s="95"/>
      <c r="AE4" s="24">
        <f t="shared" ref="AE4:AE35" si="0">(I4*60)+J4</f>
        <v>4575.8461538461543</v>
      </c>
      <c r="AF4" s="114">
        <f t="shared" ref="AF4:AF35" si="1">AE4/3600</f>
        <v>1.2710683760683761</v>
      </c>
      <c r="AG4" s="24">
        <f t="shared" ref="AG4:AG35" si="2">(M4*60)+N4</f>
        <v>381</v>
      </c>
      <c r="AH4" s="24">
        <f t="shared" ref="AH4:AH35" si="3">AG4/3600</f>
        <v>0.10583333333333333</v>
      </c>
      <c r="AI4" s="24">
        <f t="shared" ref="AI4:AI35" si="4">((P4+R4+T4)*60)+Q4+S4+U4/3</f>
        <v>226</v>
      </c>
      <c r="AJ4" s="24">
        <f t="shared" ref="AJ4:AJ33" si="5">AI4/3600</f>
        <v>6.277777777777778E-2</v>
      </c>
      <c r="AN4" s="1" t="s">
        <v>270</v>
      </c>
      <c r="AO4" s="64"/>
      <c r="AQ4" s="10" t="s">
        <v>23</v>
      </c>
      <c r="AR4" s="11" t="s">
        <v>24</v>
      </c>
    </row>
    <row r="5" spans="1:44" ht="15.75" thickBot="1" x14ac:dyDescent="0.3">
      <c r="A5" s="1">
        <v>2</v>
      </c>
      <c r="B5" s="1" t="s">
        <v>11</v>
      </c>
      <c r="C5" s="1" t="s">
        <v>256</v>
      </c>
      <c r="D5" s="1" t="s">
        <v>229</v>
      </c>
      <c r="E5" s="9" t="s">
        <v>87</v>
      </c>
      <c r="F5" s="124" t="s">
        <v>88</v>
      </c>
      <c r="G5" s="9" t="str">
        <f>VLOOKUP(D5,'Asignacion Maquina'!$E$2:$F$76,2,0)</f>
        <v>Torno 6</v>
      </c>
      <c r="H5" s="73" t="s">
        <v>270</v>
      </c>
      <c r="I5" s="76">
        <v>0</v>
      </c>
      <c r="J5" s="111">
        <v>4575.8461538461543</v>
      </c>
      <c r="K5" s="84">
        <v>1</v>
      </c>
      <c r="L5" s="73" t="s">
        <v>271</v>
      </c>
      <c r="M5" s="76">
        <v>0</v>
      </c>
      <c r="N5" s="77">
        <v>339</v>
      </c>
      <c r="O5" s="73" t="s">
        <v>271</v>
      </c>
      <c r="P5" s="78">
        <v>1</v>
      </c>
      <c r="Q5" s="1">
        <v>4</v>
      </c>
      <c r="R5" s="1">
        <v>1</v>
      </c>
      <c r="S5" s="1">
        <v>9</v>
      </c>
      <c r="T5" s="1">
        <v>1</v>
      </c>
      <c r="U5" s="79">
        <v>10</v>
      </c>
      <c r="V5" s="78">
        <v>0</v>
      </c>
      <c r="W5" s="79">
        <v>0</v>
      </c>
      <c r="X5" s="78">
        <v>0</v>
      </c>
      <c r="Y5" s="1">
        <v>27</v>
      </c>
      <c r="Z5" s="1">
        <v>0</v>
      </c>
      <c r="AA5" s="1">
        <v>31</v>
      </c>
      <c r="AB5" s="1">
        <v>0</v>
      </c>
      <c r="AC5" s="79">
        <v>28</v>
      </c>
      <c r="AD5" s="95"/>
      <c r="AE5" s="24">
        <f t="shared" si="0"/>
        <v>4575.8461538461543</v>
      </c>
      <c r="AF5" s="114">
        <f t="shared" si="1"/>
        <v>1.2710683760683761</v>
      </c>
      <c r="AG5" s="24">
        <f t="shared" si="2"/>
        <v>339</v>
      </c>
      <c r="AH5" s="24">
        <f t="shared" si="3"/>
        <v>9.4166666666666662E-2</v>
      </c>
      <c r="AI5" s="24">
        <f t="shared" si="4"/>
        <v>196.33333333333334</v>
      </c>
      <c r="AJ5" s="24">
        <f t="shared" si="5"/>
        <v>5.4537037037037037E-2</v>
      </c>
      <c r="AN5" s="1" t="s">
        <v>271</v>
      </c>
      <c r="AO5" s="65"/>
      <c r="AQ5" s="12">
        <v>1</v>
      </c>
      <c r="AR5" s="12">
        <v>8</v>
      </c>
    </row>
    <row r="6" spans="1:44" ht="15.75" thickBot="1" x14ac:dyDescent="0.3">
      <c r="A6" s="1">
        <v>3</v>
      </c>
      <c r="B6" s="1" t="s">
        <v>11</v>
      </c>
      <c r="C6" s="1" t="s">
        <v>256</v>
      </c>
      <c r="D6" s="1" t="s">
        <v>232</v>
      </c>
      <c r="E6" s="23" t="s">
        <v>153</v>
      </c>
      <c r="F6" s="124" t="s">
        <v>45</v>
      </c>
      <c r="G6" s="9" t="str">
        <f>VLOOKUP(D6,'Asignacion Maquina'!$E$2:$F$76,2,0)</f>
        <v>Torno 6</v>
      </c>
      <c r="H6" s="73" t="s">
        <v>270</v>
      </c>
      <c r="I6" s="76">
        <v>0</v>
      </c>
      <c r="J6" s="111">
        <v>4575.8461538461543</v>
      </c>
      <c r="K6" s="84">
        <v>1</v>
      </c>
      <c r="L6" s="73" t="s">
        <v>271</v>
      </c>
      <c r="M6" s="76">
        <v>0</v>
      </c>
      <c r="N6" s="79">
        <v>138</v>
      </c>
      <c r="O6" s="73" t="s">
        <v>271</v>
      </c>
      <c r="P6" s="78">
        <v>0</v>
      </c>
      <c r="Q6" s="1">
        <v>46</v>
      </c>
      <c r="R6" s="1">
        <v>0</v>
      </c>
      <c r="S6" s="1">
        <v>52</v>
      </c>
      <c r="T6" s="1">
        <v>0</v>
      </c>
      <c r="U6" s="79">
        <v>42</v>
      </c>
      <c r="V6" s="78">
        <v>0</v>
      </c>
      <c r="W6" s="79">
        <v>0</v>
      </c>
      <c r="X6" s="78">
        <v>0</v>
      </c>
      <c r="Y6" s="1">
        <v>40</v>
      </c>
      <c r="Z6" s="1">
        <v>0</v>
      </c>
      <c r="AA6" s="1">
        <v>48</v>
      </c>
      <c r="AB6" s="1">
        <v>0</v>
      </c>
      <c r="AC6" s="79">
        <v>38</v>
      </c>
      <c r="AD6" s="95" t="s">
        <v>122</v>
      </c>
      <c r="AE6" s="24">
        <f t="shared" si="0"/>
        <v>4575.8461538461543</v>
      </c>
      <c r="AF6" s="114">
        <f t="shared" si="1"/>
        <v>1.2710683760683761</v>
      </c>
      <c r="AG6" s="24">
        <f t="shared" si="2"/>
        <v>138</v>
      </c>
      <c r="AH6" s="24">
        <f t="shared" si="3"/>
        <v>3.833333333333333E-2</v>
      </c>
      <c r="AI6" s="24">
        <f t="shared" si="4"/>
        <v>112</v>
      </c>
      <c r="AJ6" s="24">
        <f t="shared" si="5"/>
        <v>3.111111111111111E-2</v>
      </c>
      <c r="AN6" s="1" t="s">
        <v>276</v>
      </c>
      <c r="AO6" s="123"/>
      <c r="AQ6" s="13">
        <v>2</v>
      </c>
      <c r="AR6" s="13">
        <v>15.5</v>
      </c>
    </row>
    <row r="7" spans="1:44" ht="15.75" thickBot="1" x14ac:dyDescent="0.3">
      <c r="A7" s="1">
        <v>4</v>
      </c>
      <c r="B7" s="1" t="s">
        <v>11</v>
      </c>
      <c r="C7" s="1" t="s">
        <v>256</v>
      </c>
      <c r="D7" s="1" t="s">
        <v>228</v>
      </c>
      <c r="E7" s="9" t="s">
        <v>93</v>
      </c>
      <c r="F7" s="124" t="s">
        <v>43</v>
      </c>
      <c r="G7" s="9" t="str">
        <f>VLOOKUP(D7,'Asignacion Maquina'!$E$2:$F$76,2,0)</f>
        <v>Torno 2</v>
      </c>
      <c r="H7" s="73" t="s">
        <v>270</v>
      </c>
      <c r="I7" s="76">
        <v>0</v>
      </c>
      <c r="J7" s="111">
        <v>4575.8461538461543</v>
      </c>
      <c r="K7" s="84">
        <v>1</v>
      </c>
      <c r="L7" s="73" t="s">
        <v>270</v>
      </c>
      <c r="M7" s="76">
        <v>0</v>
      </c>
      <c r="N7" s="87">
        <v>134.83561643835617</v>
      </c>
      <c r="O7" s="73" t="s">
        <v>271</v>
      </c>
      <c r="P7" s="78">
        <v>0</v>
      </c>
      <c r="Q7" s="1">
        <v>10</v>
      </c>
      <c r="R7" s="1">
        <v>0</v>
      </c>
      <c r="S7" s="1">
        <v>9</v>
      </c>
      <c r="T7" s="1">
        <v>0</v>
      </c>
      <c r="U7" s="79">
        <v>10</v>
      </c>
      <c r="V7" s="78">
        <v>0</v>
      </c>
      <c r="W7" s="79">
        <v>0</v>
      </c>
      <c r="X7" s="78">
        <v>0</v>
      </c>
      <c r="Y7" s="1">
        <v>45</v>
      </c>
      <c r="Z7" s="1">
        <v>0</v>
      </c>
      <c r="AA7" s="1">
        <v>40</v>
      </c>
      <c r="AB7" s="1">
        <v>0</v>
      </c>
      <c r="AC7" s="79">
        <v>38</v>
      </c>
      <c r="AD7" s="95"/>
      <c r="AE7" s="24">
        <f t="shared" si="0"/>
        <v>4575.8461538461543</v>
      </c>
      <c r="AF7" s="114">
        <f t="shared" si="1"/>
        <v>1.2710683760683761</v>
      </c>
      <c r="AG7" s="24">
        <f t="shared" si="2"/>
        <v>134.83561643835617</v>
      </c>
      <c r="AH7" s="114">
        <f t="shared" si="3"/>
        <v>3.7454337899543381E-2</v>
      </c>
      <c r="AI7" s="24">
        <f t="shared" si="4"/>
        <v>22.333333333333332</v>
      </c>
      <c r="AJ7" s="24">
        <f t="shared" si="5"/>
        <v>6.2037037037037035E-3</v>
      </c>
      <c r="AQ7" s="13">
        <v>3</v>
      </c>
      <c r="AR7" s="13">
        <v>21.5</v>
      </c>
    </row>
    <row r="8" spans="1:44" x14ac:dyDescent="0.25">
      <c r="A8" s="1">
        <v>5</v>
      </c>
      <c r="B8" s="1" t="s">
        <v>11</v>
      </c>
      <c r="C8" s="1" t="s">
        <v>256</v>
      </c>
      <c r="D8" s="1" t="s">
        <v>244</v>
      </c>
      <c r="E8" s="9" t="s">
        <v>101</v>
      </c>
      <c r="F8" s="124" t="s">
        <v>102</v>
      </c>
      <c r="G8" s="9" t="str">
        <f>VLOOKUP(D8,'Asignacion Maquina'!$E$2:$F$76,2,0)</f>
        <v>Torno 4</v>
      </c>
      <c r="H8" s="73" t="s">
        <v>270</v>
      </c>
      <c r="I8" s="76">
        <v>0</v>
      </c>
      <c r="J8" s="111">
        <v>4575.8461538461543</v>
      </c>
      <c r="K8" s="84">
        <v>1</v>
      </c>
      <c r="L8" s="73" t="s">
        <v>271</v>
      </c>
      <c r="M8" s="76">
        <v>0</v>
      </c>
      <c r="N8" s="87">
        <v>68</v>
      </c>
      <c r="O8" s="73" t="s">
        <v>271</v>
      </c>
      <c r="P8" s="76">
        <v>1</v>
      </c>
      <c r="Q8" s="2">
        <v>48</v>
      </c>
      <c r="R8" s="2">
        <v>1</v>
      </c>
      <c r="S8" s="2">
        <v>50</v>
      </c>
      <c r="T8" s="2">
        <v>1</v>
      </c>
      <c r="U8" s="77">
        <v>55</v>
      </c>
      <c r="V8" s="78">
        <v>0</v>
      </c>
      <c r="W8" s="79">
        <v>0</v>
      </c>
      <c r="X8" s="78">
        <v>0</v>
      </c>
      <c r="Y8" s="1">
        <v>35</v>
      </c>
      <c r="Z8" s="1">
        <v>0</v>
      </c>
      <c r="AA8" s="1">
        <v>37</v>
      </c>
      <c r="AB8" s="1">
        <v>0</v>
      </c>
      <c r="AC8" s="79">
        <v>32</v>
      </c>
      <c r="AD8" s="95"/>
      <c r="AE8" s="24">
        <f t="shared" si="0"/>
        <v>4575.8461538461543</v>
      </c>
      <c r="AF8" s="114">
        <f t="shared" si="1"/>
        <v>1.2710683760683761</v>
      </c>
      <c r="AG8" s="24">
        <f t="shared" si="2"/>
        <v>68</v>
      </c>
      <c r="AH8" s="24">
        <f t="shared" si="3"/>
        <v>1.8888888888888889E-2</v>
      </c>
      <c r="AI8" s="24">
        <f t="shared" si="4"/>
        <v>296.33333333333331</v>
      </c>
      <c r="AJ8" s="24">
        <f t="shared" si="5"/>
        <v>8.2314814814814813E-2</v>
      </c>
      <c r="AQ8" s="14"/>
    </row>
    <row r="9" spans="1:44" x14ac:dyDescent="0.25">
      <c r="A9" s="112">
        <v>6</v>
      </c>
      <c r="B9" s="112" t="s">
        <v>11</v>
      </c>
      <c r="C9" s="112" t="s">
        <v>255</v>
      </c>
      <c r="D9" s="1" t="s">
        <v>230</v>
      </c>
      <c r="E9" s="9" t="s">
        <v>68</v>
      </c>
      <c r="F9" s="124" t="s">
        <v>45</v>
      </c>
      <c r="G9" s="9" t="str">
        <f>VLOOKUP(D9,'Asignacion Maquina'!$E$2:$F$76,2,0)</f>
        <v>Torno 3</v>
      </c>
      <c r="H9" s="73" t="s">
        <v>271</v>
      </c>
      <c r="I9" s="76">
        <v>150</v>
      </c>
      <c r="J9" s="79">
        <v>0</v>
      </c>
      <c r="K9" s="84">
        <v>1</v>
      </c>
      <c r="L9" s="73" t="s">
        <v>271</v>
      </c>
      <c r="M9" s="76">
        <v>0</v>
      </c>
      <c r="N9" s="77">
        <v>217</v>
      </c>
      <c r="O9" s="73" t="s">
        <v>271</v>
      </c>
      <c r="P9" s="76">
        <v>1</v>
      </c>
      <c r="Q9" s="2">
        <v>3</v>
      </c>
      <c r="R9" s="2">
        <v>1</v>
      </c>
      <c r="S9" s="2">
        <v>6</v>
      </c>
      <c r="T9" s="2">
        <v>1</v>
      </c>
      <c r="U9" s="77">
        <v>10</v>
      </c>
      <c r="V9" s="78">
        <v>0</v>
      </c>
      <c r="W9" s="79">
        <v>0</v>
      </c>
      <c r="X9" s="78">
        <v>0</v>
      </c>
      <c r="Y9" s="1">
        <v>43</v>
      </c>
      <c r="Z9" s="1">
        <v>0</v>
      </c>
      <c r="AA9" s="1">
        <v>48</v>
      </c>
      <c r="AB9" s="1">
        <v>0</v>
      </c>
      <c r="AC9" s="79">
        <v>52</v>
      </c>
      <c r="AD9" s="95"/>
      <c r="AE9" s="24">
        <f t="shared" si="0"/>
        <v>9000</v>
      </c>
      <c r="AF9" s="24">
        <f t="shared" si="1"/>
        <v>2.5</v>
      </c>
      <c r="AG9" s="24">
        <f t="shared" si="2"/>
        <v>217</v>
      </c>
      <c r="AH9" s="24">
        <f t="shared" si="3"/>
        <v>6.0277777777777777E-2</v>
      </c>
      <c r="AI9" s="24">
        <f t="shared" si="4"/>
        <v>192.33333333333334</v>
      </c>
      <c r="AJ9" s="24">
        <f t="shared" si="5"/>
        <v>5.3425925925925925E-2</v>
      </c>
      <c r="AQ9" s="8" t="s">
        <v>27</v>
      </c>
      <c r="AR9" s="8" t="s">
        <v>274</v>
      </c>
    </row>
    <row r="10" spans="1:44" x14ac:dyDescent="0.25">
      <c r="A10" s="3">
        <v>7</v>
      </c>
      <c r="B10" s="3" t="s">
        <v>11</v>
      </c>
      <c r="C10" s="3" t="s">
        <v>255</v>
      </c>
      <c r="D10" s="3" t="s">
        <v>245</v>
      </c>
      <c r="E10" s="30" t="s">
        <v>53</v>
      </c>
      <c r="F10" s="125" t="s">
        <v>45</v>
      </c>
      <c r="G10" s="9" t="str">
        <f>VLOOKUP(D10,'Asignacion Maquina'!$E$2:$F$76,2,0)</f>
        <v>Torno 4</v>
      </c>
      <c r="H10" s="109" t="s">
        <v>270</v>
      </c>
      <c r="I10" s="110">
        <v>0</v>
      </c>
      <c r="J10" s="111">
        <v>4575.8461538461543</v>
      </c>
      <c r="K10" s="84">
        <v>1</v>
      </c>
      <c r="L10" s="73" t="s">
        <v>271</v>
      </c>
      <c r="M10" s="76">
        <v>0</v>
      </c>
      <c r="N10" s="79">
        <v>180</v>
      </c>
      <c r="O10" s="73" t="s">
        <v>271</v>
      </c>
      <c r="P10" s="78">
        <v>0</v>
      </c>
      <c r="Q10" s="1">
        <v>14</v>
      </c>
      <c r="R10" s="1">
        <v>0</v>
      </c>
      <c r="S10" s="1">
        <v>15</v>
      </c>
      <c r="T10" s="1">
        <v>0</v>
      </c>
      <c r="U10" s="79">
        <v>16</v>
      </c>
      <c r="V10" s="78">
        <v>0</v>
      </c>
      <c r="W10" s="79">
        <v>0</v>
      </c>
      <c r="X10" s="78">
        <v>0</v>
      </c>
      <c r="Y10" s="1">
        <v>45</v>
      </c>
      <c r="Z10" s="1">
        <v>0</v>
      </c>
      <c r="AA10" s="1">
        <v>35</v>
      </c>
      <c r="AB10" s="1">
        <v>0</v>
      </c>
      <c r="AC10" s="79">
        <v>41</v>
      </c>
      <c r="AD10" s="95"/>
      <c r="AE10" s="24">
        <f t="shared" si="0"/>
        <v>4575.8461538461543</v>
      </c>
      <c r="AF10" s="114">
        <f t="shared" si="1"/>
        <v>1.2710683760683761</v>
      </c>
      <c r="AG10" s="24">
        <f t="shared" si="2"/>
        <v>180</v>
      </c>
      <c r="AH10" s="24">
        <f t="shared" si="3"/>
        <v>0.05</v>
      </c>
      <c r="AI10" s="24">
        <f t="shared" si="4"/>
        <v>34.333333333333336</v>
      </c>
      <c r="AJ10" s="24">
        <f t="shared" si="5"/>
        <v>9.5370370370370383E-3</v>
      </c>
      <c r="AQ10" s="15">
        <v>1</v>
      </c>
      <c r="AR10" s="1" t="s">
        <v>283</v>
      </c>
    </row>
    <row r="11" spans="1:44" x14ac:dyDescent="0.25">
      <c r="A11" s="3">
        <v>8</v>
      </c>
      <c r="B11" s="3" t="s">
        <v>11</v>
      </c>
      <c r="C11" s="3" t="s">
        <v>255</v>
      </c>
      <c r="D11" s="1" t="s">
        <v>222</v>
      </c>
      <c r="E11" s="23" t="s">
        <v>103</v>
      </c>
      <c r="F11" s="124" t="s">
        <v>45</v>
      </c>
      <c r="G11" s="9" t="str">
        <f>VLOOKUP(D11,'Asignacion Maquina'!$E$2:$F$76,2,0)</f>
        <v>Torno 2</v>
      </c>
      <c r="H11" s="73" t="s">
        <v>270</v>
      </c>
      <c r="I11" s="76">
        <v>0</v>
      </c>
      <c r="J11" s="111">
        <v>4575.8461538461543</v>
      </c>
      <c r="K11" s="84">
        <v>1</v>
      </c>
      <c r="L11" s="73" t="s">
        <v>270</v>
      </c>
      <c r="M11" s="76">
        <v>0</v>
      </c>
      <c r="N11" s="87">
        <v>134.83561643835617</v>
      </c>
      <c r="O11" s="73" t="s">
        <v>271</v>
      </c>
      <c r="P11" s="78">
        <v>0</v>
      </c>
      <c r="Q11" s="1">
        <v>10</v>
      </c>
      <c r="R11" s="1">
        <v>0</v>
      </c>
      <c r="S11" s="1">
        <v>10</v>
      </c>
      <c r="T11" s="1">
        <v>0</v>
      </c>
      <c r="U11" s="79">
        <v>11</v>
      </c>
      <c r="V11" s="78">
        <v>0</v>
      </c>
      <c r="W11" s="79">
        <v>0</v>
      </c>
      <c r="X11" s="78">
        <v>0</v>
      </c>
      <c r="Y11" s="1">
        <v>53</v>
      </c>
      <c r="Z11" s="1">
        <v>0</v>
      </c>
      <c r="AA11" s="1">
        <v>55</v>
      </c>
      <c r="AB11" s="1">
        <v>1</v>
      </c>
      <c r="AC11" s="79">
        <v>2</v>
      </c>
      <c r="AD11" s="95"/>
      <c r="AE11" s="24">
        <f t="shared" si="0"/>
        <v>4575.8461538461543</v>
      </c>
      <c r="AF11" s="114">
        <f t="shared" si="1"/>
        <v>1.2710683760683761</v>
      </c>
      <c r="AG11" s="24">
        <f t="shared" si="2"/>
        <v>134.83561643835617</v>
      </c>
      <c r="AH11" s="114">
        <f t="shared" si="3"/>
        <v>3.7454337899543381E-2</v>
      </c>
      <c r="AI11" s="24">
        <f t="shared" si="4"/>
        <v>23.666666666666668</v>
      </c>
      <c r="AJ11" s="24">
        <f t="shared" si="5"/>
        <v>6.5740740740740742E-3</v>
      </c>
      <c r="AQ11" s="1">
        <v>2</v>
      </c>
      <c r="AR11" s="1" t="s">
        <v>284</v>
      </c>
    </row>
    <row r="12" spans="1:44" x14ac:dyDescent="0.25">
      <c r="A12" s="113">
        <v>9</v>
      </c>
      <c r="B12" s="113" t="s">
        <v>11</v>
      </c>
      <c r="C12" s="113" t="s">
        <v>255</v>
      </c>
      <c r="D12" s="1" t="s">
        <v>213</v>
      </c>
      <c r="E12" s="23" t="s">
        <v>137</v>
      </c>
      <c r="F12" s="124" t="s">
        <v>45</v>
      </c>
      <c r="G12" s="9" t="str">
        <f>VLOOKUP(D12,'Asignacion Maquina'!$E$2:$F$76,2,0)</f>
        <v>Torno 2</v>
      </c>
      <c r="H12" s="73" t="s">
        <v>270</v>
      </c>
      <c r="I12" s="108">
        <v>0</v>
      </c>
      <c r="J12" s="111">
        <v>4575.8461538461543</v>
      </c>
      <c r="K12" s="84">
        <v>1</v>
      </c>
      <c r="L12" s="73" t="s">
        <v>271</v>
      </c>
      <c r="M12" s="76">
        <v>0</v>
      </c>
      <c r="N12" s="79">
        <v>379</v>
      </c>
      <c r="O12" s="73" t="s">
        <v>271</v>
      </c>
      <c r="P12" s="78">
        <v>1</v>
      </c>
      <c r="Q12" s="1">
        <v>10</v>
      </c>
      <c r="R12" s="1">
        <v>1</v>
      </c>
      <c r="S12" s="1">
        <v>18</v>
      </c>
      <c r="T12" s="1">
        <v>1</v>
      </c>
      <c r="U12" s="79">
        <v>6</v>
      </c>
      <c r="V12" s="78">
        <v>0</v>
      </c>
      <c r="W12" s="79">
        <v>0</v>
      </c>
      <c r="X12" s="78">
        <v>2</v>
      </c>
      <c r="Y12" s="1">
        <v>0</v>
      </c>
      <c r="Z12" s="1">
        <v>1</v>
      </c>
      <c r="AA12" s="1">
        <v>54</v>
      </c>
      <c r="AB12" s="1">
        <v>1</v>
      </c>
      <c r="AC12" s="79">
        <v>51</v>
      </c>
      <c r="AD12" s="95" t="s">
        <v>122</v>
      </c>
      <c r="AE12" s="24">
        <f t="shared" si="0"/>
        <v>4575.8461538461543</v>
      </c>
      <c r="AF12" s="114">
        <f t="shared" si="1"/>
        <v>1.2710683760683761</v>
      </c>
      <c r="AG12" s="24">
        <f t="shared" si="2"/>
        <v>379</v>
      </c>
      <c r="AH12" s="24">
        <f t="shared" si="3"/>
        <v>0.10527777777777778</v>
      </c>
      <c r="AI12" s="24">
        <f t="shared" si="4"/>
        <v>210</v>
      </c>
      <c r="AJ12" s="24">
        <f t="shared" si="5"/>
        <v>5.8333333333333334E-2</v>
      </c>
      <c r="AQ12" s="15">
        <v>3</v>
      </c>
    </row>
    <row r="13" spans="1:44" x14ac:dyDescent="0.25">
      <c r="A13" s="1">
        <v>10</v>
      </c>
      <c r="B13" s="1" t="s">
        <v>11</v>
      </c>
      <c r="C13" s="1" t="s">
        <v>255</v>
      </c>
      <c r="D13" s="1" t="s">
        <v>218</v>
      </c>
      <c r="E13" s="9" t="s">
        <v>61</v>
      </c>
      <c r="F13" s="124" t="s">
        <v>62</v>
      </c>
      <c r="G13" s="9" t="str">
        <f>VLOOKUP(D13,'Asignacion Maquina'!$E$2:$F$76,2,0)</f>
        <v>Torno 4</v>
      </c>
      <c r="H13" s="73" t="s">
        <v>271</v>
      </c>
      <c r="I13" s="78">
        <v>60</v>
      </c>
      <c r="J13" s="79">
        <v>39</v>
      </c>
      <c r="K13" s="84">
        <v>1</v>
      </c>
      <c r="L13" s="73" t="s">
        <v>271</v>
      </c>
      <c r="M13" s="76">
        <v>0</v>
      </c>
      <c r="N13" s="77">
        <v>240</v>
      </c>
      <c r="O13" s="73" t="s">
        <v>271</v>
      </c>
      <c r="P13" s="76">
        <v>0</v>
      </c>
      <c r="Q13" s="2">
        <v>14</v>
      </c>
      <c r="R13" s="2">
        <v>0</v>
      </c>
      <c r="S13" s="2">
        <v>10</v>
      </c>
      <c r="T13" s="2">
        <v>0</v>
      </c>
      <c r="U13" s="77">
        <v>13</v>
      </c>
      <c r="V13" s="78">
        <v>0</v>
      </c>
      <c r="W13" s="79">
        <v>0</v>
      </c>
      <c r="X13" s="78">
        <v>0</v>
      </c>
      <c r="Y13" s="1">
        <v>17</v>
      </c>
      <c r="Z13" s="1">
        <v>0</v>
      </c>
      <c r="AA13" s="1">
        <v>10</v>
      </c>
      <c r="AB13" s="1">
        <v>0</v>
      </c>
      <c r="AC13" s="79">
        <v>9</v>
      </c>
      <c r="AD13" s="95"/>
      <c r="AE13" s="24">
        <f t="shared" si="0"/>
        <v>3639</v>
      </c>
      <c r="AF13" s="24">
        <f t="shared" si="1"/>
        <v>1.0108333333333333</v>
      </c>
      <c r="AG13" s="24">
        <f t="shared" si="2"/>
        <v>240</v>
      </c>
      <c r="AH13" s="24">
        <f t="shared" si="3"/>
        <v>6.6666666666666666E-2</v>
      </c>
      <c r="AI13" s="24">
        <f t="shared" si="4"/>
        <v>28.333333333333332</v>
      </c>
      <c r="AJ13" s="24">
        <f t="shared" si="5"/>
        <v>7.8703703703703696E-3</v>
      </c>
      <c r="AQ13" s="1">
        <v>4</v>
      </c>
    </row>
    <row r="14" spans="1:44" x14ac:dyDescent="0.25">
      <c r="A14" s="1">
        <v>11</v>
      </c>
      <c r="B14" s="1" t="s">
        <v>11</v>
      </c>
      <c r="C14" s="1" t="s">
        <v>255</v>
      </c>
      <c r="D14" s="1" t="s">
        <v>220</v>
      </c>
      <c r="E14" s="23" t="s">
        <v>148</v>
      </c>
      <c r="F14" s="124" t="s">
        <v>45</v>
      </c>
      <c r="G14" s="9" t="str">
        <f>VLOOKUP(D14,'Asignacion Maquina'!$E$2:$F$76,2,0)</f>
        <v>Torno 3</v>
      </c>
      <c r="H14" s="73" t="s">
        <v>270</v>
      </c>
      <c r="I14" s="76">
        <v>0</v>
      </c>
      <c r="J14" s="111">
        <v>4575.8461538461543</v>
      </c>
      <c r="K14" s="84">
        <v>1</v>
      </c>
      <c r="L14" s="73" t="s">
        <v>271</v>
      </c>
      <c r="M14" s="76">
        <v>0</v>
      </c>
      <c r="N14" s="79">
        <v>234</v>
      </c>
      <c r="O14" s="73" t="s">
        <v>271</v>
      </c>
      <c r="P14" s="78">
        <v>1</v>
      </c>
      <c r="Q14" s="1">
        <v>35</v>
      </c>
      <c r="R14" s="1">
        <v>1</v>
      </c>
      <c r="S14" s="1">
        <v>40</v>
      </c>
      <c r="T14" s="1">
        <v>0</v>
      </c>
      <c r="U14" s="79">
        <v>28</v>
      </c>
      <c r="V14" s="78">
        <v>0</v>
      </c>
      <c r="W14" s="79">
        <v>0</v>
      </c>
      <c r="X14" s="78">
        <v>0</v>
      </c>
      <c r="Y14" s="1">
        <v>38</v>
      </c>
      <c r="Z14" s="1">
        <v>0</v>
      </c>
      <c r="AA14" s="1">
        <v>36</v>
      </c>
      <c r="AB14" s="1">
        <v>0</v>
      </c>
      <c r="AC14" s="79">
        <v>35</v>
      </c>
      <c r="AD14" s="95" t="s">
        <v>122</v>
      </c>
      <c r="AE14" s="24">
        <f t="shared" si="0"/>
        <v>4575.8461538461543</v>
      </c>
      <c r="AF14" s="114">
        <f t="shared" si="1"/>
        <v>1.2710683760683761</v>
      </c>
      <c r="AG14" s="24">
        <f t="shared" si="2"/>
        <v>234</v>
      </c>
      <c r="AH14" s="24">
        <f t="shared" si="3"/>
        <v>6.5000000000000002E-2</v>
      </c>
      <c r="AI14" s="24">
        <f t="shared" si="4"/>
        <v>204.33333333333334</v>
      </c>
      <c r="AJ14" s="24">
        <f t="shared" si="5"/>
        <v>5.6759259259259259E-2</v>
      </c>
      <c r="AQ14" s="15">
        <v>5</v>
      </c>
    </row>
    <row r="15" spans="1:44" x14ac:dyDescent="0.25">
      <c r="A15" s="1">
        <v>12</v>
      </c>
      <c r="B15" s="1" t="s">
        <v>11</v>
      </c>
      <c r="C15" s="1" t="s">
        <v>255</v>
      </c>
      <c r="D15" s="1" t="s">
        <v>215</v>
      </c>
      <c r="E15" s="9" t="s">
        <v>64</v>
      </c>
      <c r="F15" s="124" t="s">
        <v>65</v>
      </c>
      <c r="G15" s="9" t="str">
        <f>VLOOKUP(D15,'Asignacion Maquina'!$E$2:$F$76,2,0)</f>
        <v>Torno 1</v>
      </c>
      <c r="H15" s="73" t="s">
        <v>271</v>
      </c>
      <c r="I15" s="76">
        <v>120</v>
      </c>
      <c r="J15" s="79">
        <v>0</v>
      </c>
      <c r="K15" s="84">
        <v>1</v>
      </c>
      <c r="L15" s="73" t="s">
        <v>271</v>
      </c>
      <c r="M15" s="76">
        <v>0</v>
      </c>
      <c r="N15" s="79">
        <v>35</v>
      </c>
      <c r="O15" s="73" t="s">
        <v>271</v>
      </c>
      <c r="P15" s="78">
        <v>0</v>
      </c>
      <c r="Q15" s="1">
        <v>6</v>
      </c>
      <c r="R15" s="1">
        <v>0</v>
      </c>
      <c r="S15" s="1">
        <v>7</v>
      </c>
      <c r="T15" s="1">
        <v>0</v>
      </c>
      <c r="U15" s="79">
        <v>9</v>
      </c>
      <c r="V15" s="78">
        <v>0</v>
      </c>
      <c r="W15" s="79">
        <v>0</v>
      </c>
      <c r="X15" s="78">
        <v>0</v>
      </c>
      <c r="Y15" s="1">
        <v>28</v>
      </c>
      <c r="Z15" s="1">
        <v>0</v>
      </c>
      <c r="AA15" s="1">
        <v>30</v>
      </c>
      <c r="AB15" s="1">
        <v>0</v>
      </c>
      <c r="AC15" s="79">
        <v>26</v>
      </c>
      <c r="AD15" s="95"/>
      <c r="AE15" s="24">
        <f t="shared" si="0"/>
        <v>7200</v>
      </c>
      <c r="AF15" s="24">
        <f t="shared" si="1"/>
        <v>2</v>
      </c>
      <c r="AG15" s="24">
        <f t="shared" si="2"/>
        <v>35</v>
      </c>
      <c r="AH15" s="24">
        <f t="shared" si="3"/>
        <v>9.7222222222222224E-3</v>
      </c>
      <c r="AI15" s="24">
        <f t="shared" si="4"/>
        <v>16</v>
      </c>
      <c r="AJ15" s="24">
        <f t="shared" si="5"/>
        <v>4.4444444444444444E-3</v>
      </c>
      <c r="AQ15" s="1">
        <v>6</v>
      </c>
    </row>
    <row r="16" spans="1:44" x14ac:dyDescent="0.25">
      <c r="A16" s="1">
        <v>13</v>
      </c>
      <c r="B16" s="1" t="s">
        <v>11</v>
      </c>
      <c r="C16" s="1" t="s">
        <v>255</v>
      </c>
      <c r="D16" s="1" t="s">
        <v>227</v>
      </c>
      <c r="E16" s="9" t="s">
        <v>66</v>
      </c>
      <c r="F16" s="124" t="s">
        <v>67</v>
      </c>
      <c r="G16" s="9" t="str">
        <f>VLOOKUP(D16,'Asignacion Maquina'!$E$2:$F$76,2,0)</f>
        <v>Torno 4</v>
      </c>
      <c r="H16" s="73" t="s">
        <v>271</v>
      </c>
      <c r="I16" s="76">
        <v>60</v>
      </c>
      <c r="J16" s="79">
        <v>0</v>
      </c>
      <c r="K16" s="84">
        <v>1</v>
      </c>
      <c r="L16" s="73" t="s">
        <v>271</v>
      </c>
      <c r="M16" s="76">
        <v>0</v>
      </c>
      <c r="N16" s="79">
        <v>60</v>
      </c>
      <c r="O16" s="73" t="s">
        <v>271</v>
      </c>
      <c r="P16" s="78">
        <v>0</v>
      </c>
      <c r="Q16" s="1">
        <v>20</v>
      </c>
      <c r="R16" s="1">
        <v>0</v>
      </c>
      <c r="S16" s="1">
        <v>18</v>
      </c>
      <c r="T16" s="1">
        <v>0</v>
      </c>
      <c r="U16" s="79">
        <v>21</v>
      </c>
      <c r="V16" s="78">
        <v>0</v>
      </c>
      <c r="W16" s="79">
        <v>0</v>
      </c>
      <c r="X16" s="78">
        <v>0</v>
      </c>
      <c r="Y16" s="1">
        <v>24</v>
      </c>
      <c r="Z16" s="1">
        <v>0</v>
      </c>
      <c r="AA16" s="1">
        <v>26</v>
      </c>
      <c r="AB16" s="1">
        <v>0</v>
      </c>
      <c r="AC16" s="79">
        <v>30</v>
      </c>
      <c r="AD16" s="95"/>
      <c r="AE16" s="24">
        <f t="shared" si="0"/>
        <v>3600</v>
      </c>
      <c r="AF16" s="24">
        <f t="shared" si="1"/>
        <v>1</v>
      </c>
      <c r="AG16" s="24">
        <f t="shared" si="2"/>
        <v>60</v>
      </c>
      <c r="AH16" s="24">
        <f t="shared" si="3"/>
        <v>1.6666666666666666E-2</v>
      </c>
      <c r="AI16" s="24">
        <f t="shared" si="4"/>
        <v>45</v>
      </c>
      <c r="AJ16" s="24">
        <f t="shared" si="5"/>
        <v>1.2500000000000001E-2</v>
      </c>
      <c r="AQ16" s="15">
        <v>7</v>
      </c>
    </row>
    <row r="17" spans="1:36" x14ac:dyDescent="0.25">
      <c r="A17" s="1">
        <v>14</v>
      </c>
      <c r="B17" s="1" t="s">
        <v>11</v>
      </c>
      <c r="C17" s="1" t="s">
        <v>255</v>
      </c>
      <c r="D17" s="1" t="s">
        <v>214</v>
      </c>
      <c r="E17" s="9" t="s">
        <v>85</v>
      </c>
      <c r="F17" s="124" t="s">
        <v>86</v>
      </c>
      <c r="G17" s="9" t="str">
        <f>VLOOKUP(D17,'Asignacion Maquina'!$E$2:$F$76,2,0)</f>
        <v>Torno 2</v>
      </c>
      <c r="H17" s="73" t="s">
        <v>270</v>
      </c>
      <c r="I17" s="78">
        <v>0</v>
      </c>
      <c r="J17" s="111">
        <v>4575.8461538461543</v>
      </c>
      <c r="K17" s="84">
        <v>1</v>
      </c>
      <c r="L17" s="73" t="s">
        <v>271</v>
      </c>
      <c r="M17" s="76">
        <v>0</v>
      </c>
      <c r="N17" s="77">
        <v>160</v>
      </c>
      <c r="O17" s="73" t="s">
        <v>271</v>
      </c>
      <c r="P17" s="78">
        <v>0</v>
      </c>
      <c r="Q17" s="1">
        <v>6</v>
      </c>
      <c r="R17" s="1">
        <v>0</v>
      </c>
      <c r="S17" s="1">
        <v>7</v>
      </c>
      <c r="T17" s="1">
        <v>0</v>
      </c>
      <c r="U17" s="79">
        <v>6</v>
      </c>
      <c r="V17" s="78">
        <v>0</v>
      </c>
      <c r="W17" s="79">
        <v>0</v>
      </c>
      <c r="X17" s="78">
        <v>0</v>
      </c>
      <c r="Y17" s="1">
        <v>48</v>
      </c>
      <c r="Z17" s="1">
        <v>1</v>
      </c>
      <c r="AA17" s="1">
        <v>0</v>
      </c>
      <c r="AB17" s="1">
        <v>0</v>
      </c>
      <c r="AC17" s="79">
        <v>56</v>
      </c>
      <c r="AD17" s="95"/>
      <c r="AE17" s="24">
        <f t="shared" si="0"/>
        <v>4575.8461538461543</v>
      </c>
      <c r="AF17" s="114">
        <f t="shared" si="1"/>
        <v>1.2710683760683761</v>
      </c>
      <c r="AG17" s="24">
        <f t="shared" si="2"/>
        <v>160</v>
      </c>
      <c r="AH17" s="24">
        <f t="shared" si="3"/>
        <v>4.4444444444444446E-2</v>
      </c>
      <c r="AI17" s="24">
        <f t="shared" si="4"/>
        <v>15</v>
      </c>
      <c r="AJ17" s="24">
        <f t="shared" si="5"/>
        <v>4.1666666666666666E-3</v>
      </c>
    </row>
    <row r="18" spans="1:36" x14ac:dyDescent="0.25">
      <c r="A18" s="1">
        <v>15</v>
      </c>
      <c r="B18" s="1" t="s">
        <v>11</v>
      </c>
      <c r="C18" s="1" t="s">
        <v>255</v>
      </c>
      <c r="D18" s="1" t="s">
        <v>224</v>
      </c>
      <c r="E18" s="9" t="s">
        <v>96</v>
      </c>
      <c r="F18" s="124" t="s">
        <v>92</v>
      </c>
      <c r="G18" s="9" t="str">
        <f>VLOOKUP(D18,'Asignacion Maquina'!$E$2:$F$76,2,0)</f>
        <v>Torno 6</v>
      </c>
      <c r="H18" s="73" t="s">
        <v>270</v>
      </c>
      <c r="I18" s="76">
        <v>0</v>
      </c>
      <c r="J18" s="111">
        <v>4575.8461538461543</v>
      </c>
      <c r="K18" s="84">
        <v>1</v>
      </c>
      <c r="L18" s="73" t="s">
        <v>271</v>
      </c>
      <c r="M18" s="76">
        <v>0</v>
      </c>
      <c r="N18" s="87">
        <v>132</v>
      </c>
      <c r="O18" s="73" t="s">
        <v>271</v>
      </c>
      <c r="P18" s="76">
        <v>0</v>
      </c>
      <c r="Q18" s="2">
        <v>6</v>
      </c>
      <c r="R18" s="2">
        <v>0</v>
      </c>
      <c r="S18" s="2">
        <v>7</v>
      </c>
      <c r="T18" s="2">
        <v>0</v>
      </c>
      <c r="U18" s="77">
        <v>9</v>
      </c>
      <c r="V18" s="78">
        <v>0</v>
      </c>
      <c r="W18" s="79">
        <v>0</v>
      </c>
      <c r="X18" s="78">
        <v>0</v>
      </c>
      <c r="Y18" s="1">
        <v>54</v>
      </c>
      <c r="Z18" s="1">
        <v>0</v>
      </c>
      <c r="AA18" s="1">
        <v>48</v>
      </c>
      <c r="AB18" s="1">
        <v>0</v>
      </c>
      <c r="AC18" s="79">
        <v>46</v>
      </c>
      <c r="AD18" s="95"/>
      <c r="AE18" s="24">
        <f t="shared" si="0"/>
        <v>4575.8461538461543</v>
      </c>
      <c r="AF18" s="114">
        <f t="shared" si="1"/>
        <v>1.2710683760683761</v>
      </c>
      <c r="AG18" s="24">
        <f t="shared" si="2"/>
        <v>132</v>
      </c>
      <c r="AH18" s="24">
        <f t="shared" si="3"/>
        <v>3.6666666666666667E-2</v>
      </c>
      <c r="AI18" s="24">
        <f t="shared" si="4"/>
        <v>16</v>
      </c>
      <c r="AJ18" s="24">
        <f t="shared" si="5"/>
        <v>4.4444444444444444E-3</v>
      </c>
    </row>
    <row r="19" spans="1:36" x14ac:dyDescent="0.25">
      <c r="A19" s="1">
        <v>16</v>
      </c>
      <c r="B19" s="1" t="s">
        <v>11</v>
      </c>
      <c r="C19" s="1" t="s">
        <v>255</v>
      </c>
      <c r="D19" s="1" t="s">
        <v>225</v>
      </c>
      <c r="E19" s="9" t="s">
        <v>97</v>
      </c>
      <c r="F19" s="124" t="s">
        <v>98</v>
      </c>
      <c r="G19" s="9" t="str">
        <f>VLOOKUP(D19,'Asignacion Maquina'!$E$2:$F$76,2,0)</f>
        <v>Torno 5</v>
      </c>
      <c r="H19" s="73" t="s">
        <v>270</v>
      </c>
      <c r="I19" s="76">
        <v>0</v>
      </c>
      <c r="J19" s="111">
        <v>4575.8461538461543</v>
      </c>
      <c r="K19" s="84">
        <v>1</v>
      </c>
      <c r="L19" s="73" t="s">
        <v>271</v>
      </c>
      <c r="M19" s="76">
        <v>0</v>
      </c>
      <c r="N19" s="81">
        <v>154</v>
      </c>
      <c r="O19" s="73" t="s">
        <v>271</v>
      </c>
      <c r="P19" s="78">
        <v>0</v>
      </c>
      <c r="Q19" s="1">
        <v>25</v>
      </c>
      <c r="R19" s="1">
        <v>0</v>
      </c>
      <c r="S19" s="1">
        <v>24</v>
      </c>
      <c r="T19" s="1">
        <v>0</v>
      </c>
      <c r="U19" s="79">
        <v>26</v>
      </c>
      <c r="V19" s="78">
        <v>0</v>
      </c>
      <c r="W19" s="79">
        <v>0</v>
      </c>
      <c r="X19" s="78">
        <v>0</v>
      </c>
      <c r="Y19" s="1">
        <v>12</v>
      </c>
      <c r="Z19" s="1">
        <v>0</v>
      </c>
      <c r="AA19" s="1">
        <v>15</v>
      </c>
      <c r="AB19" s="1">
        <v>0</v>
      </c>
      <c r="AC19" s="79">
        <v>14</v>
      </c>
      <c r="AD19" s="95"/>
      <c r="AE19" s="24">
        <f t="shared" si="0"/>
        <v>4575.8461538461543</v>
      </c>
      <c r="AF19" s="114">
        <f t="shared" si="1"/>
        <v>1.2710683760683761</v>
      </c>
      <c r="AG19" s="24">
        <f t="shared" si="2"/>
        <v>154</v>
      </c>
      <c r="AH19" s="24">
        <f t="shared" si="3"/>
        <v>4.2777777777777776E-2</v>
      </c>
      <c r="AI19" s="24">
        <f t="shared" si="4"/>
        <v>57.666666666666664</v>
      </c>
      <c r="AJ19" s="24">
        <f t="shared" si="5"/>
        <v>1.6018518518518519E-2</v>
      </c>
    </row>
    <row r="20" spans="1:36" x14ac:dyDescent="0.25">
      <c r="A20" s="1">
        <v>17</v>
      </c>
      <c r="B20" s="1" t="s">
        <v>11</v>
      </c>
      <c r="C20" s="1" t="s">
        <v>255</v>
      </c>
      <c r="D20" s="1" t="s">
        <v>226</v>
      </c>
      <c r="E20" s="23" t="s">
        <v>104</v>
      </c>
      <c r="F20" s="124" t="s">
        <v>105</v>
      </c>
      <c r="G20" s="9" t="str">
        <f>VLOOKUP(D20,'Asignacion Maquina'!$E$2:$F$76,2,0)</f>
        <v>Torno 1</v>
      </c>
      <c r="H20" s="73" t="s">
        <v>270</v>
      </c>
      <c r="I20" s="76">
        <v>0</v>
      </c>
      <c r="J20" s="111">
        <v>4575.8461538461543</v>
      </c>
      <c r="K20" s="84">
        <v>1</v>
      </c>
      <c r="L20" s="73" t="s">
        <v>271</v>
      </c>
      <c r="M20" s="76">
        <v>0</v>
      </c>
      <c r="N20" s="79">
        <v>88</v>
      </c>
      <c r="O20" s="73" t="s">
        <v>271</v>
      </c>
      <c r="P20" s="78">
        <v>0</v>
      </c>
      <c r="Q20" s="1">
        <v>4</v>
      </c>
      <c r="R20" s="1">
        <v>0</v>
      </c>
      <c r="S20" s="1">
        <v>5</v>
      </c>
      <c r="T20" s="1">
        <v>0</v>
      </c>
      <c r="U20" s="79">
        <v>4</v>
      </c>
      <c r="V20" s="78">
        <v>0</v>
      </c>
      <c r="W20" s="79">
        <v>0</v>
      </c>
      <c r="X20" s="78">
        <v>0</v>
      </c>
      <c r="Y20" s="1">
        <v>23</v>
      </c>
      <c r="Z20" s="1">
        <v>0</v>
      </c>
      <c r="AA20" s="1">
        <v>28</v>
      </c>
      <c r="AB20" s="1">
        <v>0</v>
      </c>
      <c r="AC20" s="79">
        <v>23</v>
      </c>
      <c r="AD20" s="95"/>
      <c r="AE20" s="24">
        <f t="shared" si="0"/>
        <v>4575.8461538461543</v>
      </c>
      <c r="AF20" s="114">
        <f t="shared" si="1"/>
        <v>1.2710683760683761</v>
      </c>
      <c r="AG20" s="24">
        <f t="shared" si="2"/>
        <v>88</v>
      </c>
      <c r="AH20" s="24">
        <f t="shared" si="3"/>
        <v>2.4444444444444446E-2</v>
      </c>
      <c r="AI20" s="24">
        <f t="shared" si="4"/>
        <v>10.333333333333334</v>
      </c>
      <c r="AJ20" s="24">
        <f t="shared" si="5"/>
        <v>2.8703703703703703E-3</v>
      </c>
    </row>
    <row r="21" spans="1:36" x14ac:dyDescent="0.25">
      <c r="A21" s="1">
        <v>18</v>
      </c>
      <c r="B21" s="1" t="s">
        <v>11</v>
      </c>
      <c r="C21" s="1" t="s">
        <v>255</v>
      </c>
      <c r="D21" s="1" t="s">
        <v>247</v>
      </c>
      <c r="E21" s="23" t="s">
        <v>106</v>
      </c>
      <c r="F21" s="124" t="s">
        <v>98</v>
      </c>
      <c r="G21" s="9" t="str">
        <f>VLOOKUP(D21,'Asignacion Maquina'!$E$2:$F$76,2,0)</f>
        <v>Torno 5</v>
      </c>
      <c r="H21" s="73" t="s">
        <v>270</v>
      </c>
      <c r="I21" s="76">
        <v>0</v>
      </c>
      <c r="J21" s="111">
        <v>4575.8461538461543</v>
      </c>
      <c r="K21" s="84">
        <v>1</v>
      </c>
      <c r="L21" s="73" t="s">
        <v>271</v>
      </c>
      <c r="M21" s="76">
        <v>0</v>
      </c>
      <c r="N21" s="79">
        <v>550</v>
      </c>
      <c r="O21" s="73" t="s">
        <v>271</v>
      </c>
      <c r="P21" s="78">
        <v>2</v>
      </c>
      <c r="Q21" s="1">
        <v>0</v>
      </c>
      <c r="R21" s="1">
        <v>0</v>
      </c>
      <c r="S21" s="1">
        <v>56</v>
      </c>
      <c r="T21" s="1">
        <v>1</v>
      </c>
      <c r="U21" s="79">
        <v>49</v>
      </c>
      <c r="V21" s="78">
        <v>0</v>
      </c>
      <c r="W21" s="79">
        <v>0</v>
      </c>
      <c r="X21" s="78">
        <v>0</v>
      </c>
      <c r="Y21" s="1">
        <v>95</v>
      </c>
      <c r="Z21" s="1">
        <v>0</v>
      </c>
      <c r="AA21" s="1">
        <v>50</v>
      </c>
      <c r="AB21" s="1">
        <v>0</v>
      </c>
      <c r="AC21" s="79">
        <v>45</v>
      </c>
      <c r="AD21" s="95"/>
      <c r="AE21" s="24">
        <f t="shared" si="0"/>
        <v>4575.8461538461543</v>
      </c>
      <c r="AF21" s="114">
        <f t="shared" si="1"/>
        <v>1.2710683760683761</v>
      </c>
      <c r="AG21" s="24">
        <f t="shared" si="2"/>
        <v>550</v>
      </c>
      <c r="AH21" s="24">
        <f t="shared" si="3"/>
        <v>0.15277777777777779</v>
      </c>
      <c r="AI21" s="24">
        <f t="shared" si="4"/>
        <v>252.33333333333334</v>
      </c>
      <c r="AJ21" s="24">
        <f t="shared" si="5"/>
        <v>7.0092592592592595E-2</v>
      </c>
    </row>
    <row r="22" spans="1:36" x14ac:dyDescent="0.25">
      <c r="A22" s="1">
        <v>19</v>
      </c>
      <c r="B22" s="1" t="s">
        <v>11</v>
      </c>
      <c r="C22" s="1" t="s">
        <v>255</v>
      </c>
      <c r="D22" s="1" t="s">
        <v>217</v>
      </c>
      <c r="E22" s="23" t="s">
        <v>110</v>
      </c>
      <c r="F22" s="124" t="s">
        <v>102</v>
      </c>
      <c r="G22" s="9" t="str">
        <f>VLOOKUP(D22,'Asignacion Maquina'!$E$2:$F$76,2,0)</f>
        <v>Torno 1</v>
      </c>
      <c r="H22" s="73" t="s">
        <v>270</v>
      </c>
      <c r="I22" s="76">
        <v>0</v>
      </c>
      <c r="J22" s="111">
        <v>4575.8461538461543</v>
      </c>
      <c r="K22" s="84">
        <v>1</v>
      </c>
      <c r="L22" s="73" t="s">
        <v>271</v>
      </c>
      <c r="M22" s="76">
        <v>0</v>
      </c>
      <c r="N22" s="79">
        <v>70</v>
      </c>
      <c r="O22" s="73" t="s">
        <v>271</v>
      </c>
      <c r="P22" s="78">
        <v>0</v>
      </c>
      <c r="Q22" s="1">
        <v>11</v>
      </c>
      <c r="R22" s="1">
        <v>0</v>
      </c>
      <c r="S22" s="1">
        <v>12</v>
      </c>
      <c r="T22" s="1">
        <v>0</v>
      </c>
      <c r="U22" s="79">
        <v>10</v>
      </c>
      <c r="V22" s="78">
        <v>0</v>
      </c>
      <c r="W22" s="79">
        <v>0</v>
      </c>
      <c r="X22" s="78">
        <v>0</v>
      </c>
      <c r="Y22" s="1">
        <v>19</v>
      </c>
      <c r="Z22" s="1">
        <v>0</v>
      </c>
      <c r="AA22" s="1">
        <v>22</v>
      </c>
      <c r="AB22" s="1">
        <v>0</v>
      </c>
      <c r="AC22" s="79">
        <v>17</v>
      </c>
      <c r="AD22" s="95" t="s">
        <v>111</v>
      </c>
      <c r="AE22" s="24">
        <f t="shared" si="0"/>
        <v>4575.8461538461543</v>
      </c>
      <c r="AF22" s="114">
        <f t="shared" si="1"/>
        <v>1.2710683760683761</v>
      </c>
      <c r="AG22" s="24">
        <f t="shared" si="2"/>
        <v>70</v>
      </c>
      <c r="AH22" s="24">
        <f t="shared" si="3"/>
        <v>1.9444444444444445E-2</v>
      </c>
      <c r="AI22" s="24">
        <f t="shared" si="4"/>
        <v>26.333333333333332</v>
      </c>
      <c r="AJ22" s="24">
        <f t="shared" si="5"/>
        <v>7.3148148148148148E-3</v>
      </c>
    </row>
    <row r="23" spans="1:36" x14ac:dyDescent="0.25">
      <c r="A23" s="1">
        <v>20</v>
      </c>
      <c r="B23" s="1" t="s">
        <v>11</v>
      </c>
      <c r="C23" s="1" t="s">
        <v>255</v>
      </c>
      <c r="D23" s="1" t="s">
        <v>223</v>
      </c>
      <c r="E23" s="23" t="s">
        <v>112</v>
      </c>
      <c r="F23" s="124" t="s">
        <v>113</v>
      </c>
      <c r="G23" s="9" t="str">
        <f>VLOOKUP(D23,'Asignacion Maquina'!$E$2:$F$76,2,0)</f>
        <v>Torno 6</v>
      </c>
      <c r="H23" s="73" t="s">
        <v>270</v>
      </c>
      <c r="I23" s="76">
        <v>0</v>
      </c>
      <c r="J23" s="111">
        <v>4575.8461538461543</v>
      </c>
      <c r="K23" s="84">
        <v>1</v>
      </c>
      <c r="L23" s="73" t="s">
        <v>271</v>
      </c>
      <c r="M23" s="76">
        <v>0</v>
      </c>
      <c r="N23" s="79">
        <v>30</v>
      </c>
      <c r="O23" s="73" t="s">
        <v>271</v>
      </c>
      <c r="P23" s="78">
        <v>0</v>
      </c>
      <c r="Q23" s="1">
        <v>26</v>
      </c>
      <c r="R23" s="1">
        <v>0</v>
      </c>
      <c r="S23" s="1">
        <v>29</v>
      </c>
      <c r="T23" s="1">
        <v>0</v>
      </c>
      <c r="U23" s="79">
        <v>26</v>
      </c>
      <c r="V23" s="78">
        <v>0</v>
      </c>
      <c r="W23" s="79">
        <v>0</v>
      </c>
      <c r="X23" s="78">
        <v>0</v>
      </c>
      <c r="Y23" s="1">
        <v>42</v>
      </c>
      <c r="Z23" s="1">
        <v>0</v>
      </c>
      <c r="AA23" s="1">
        <v>45</v>
      </c>
      <c r="AB23" s="1">
        <v>0</v>
      </c>
      <c r="AC23" s="79">
        <v>48</v>
      </c>
      <c r="AD23" s="95"/>
      <c r="AE23" s="24">
        <f t="shared" si="0"/>
        <v>4575.8461538461543</v>
      </c>
      <c r="AF23" s="114">
        <f t="shared" si="1"/>
        <v>1.2710683760683761</v>
      </c>
      <c r="AG23" s="24">
        <f t="shared" si="2"/>
        <v>30</v>
      </c>
      <c r="AH23" s="24">
        <f t="shared" si="3"/>
        <v>8.3333333333333332E-3</v>
      </c>
      <c r="AI23" s="24">
        <f t="shared" si="4"/>
        <v>63.666666666666664</v>
      </c>
      <c r="AJ23" s="24">
        <f t="shared" si="5"/>
        <v>1.7685185185185186E-2</v>
      </c>
    </row>
    <row r="24" spans="1:36" x14ac:dyDescent="0.25">
      <c r="A24" s="1">
        <v>21</v>
      </c>
      <c r="B24" s="1" t="s">
        <v>11</v>
      </c>
      <c r="C24" s="1" t="s">
        <v>255</v>
      </c>
      <c r="D24" s="1" t="s">
        <v>221</v>
      </c>
      <c r="E24" s="23" t="s">
        <v>139</v>
      </c>
      <c r="F24" s="124" t="s">
        <v>140</v>
      </c>
      <c r="G24" s="9" t="str">
        <f>VLOOKUP(D24,'Asignacion Maquina'!$E$2:$F$76,2,0)</f>
        <v>Torno 3</v>
      </c>
      <c r="H24" s="73" t="s">
        <v>271</v>
      </c>
      <c r="I24" s="108">
        <v>45</v>
      </c>
      <c r="J24" s="77">
        <v>0</v>
      </c>
      <c r="K24" s="84">
        <v>1</v>
      </c>
      <c r="L24" s="73" t="s">
        <v>271</v>
      </c>
      <c r="M24" s="76">
        <v>0</v>
      </c>
      <c r="N24" s="79">
        <v>32</v>
      </c>
      <c r="O24" s="73" t="s">
        <v>271</v>
      </c>
      <c r="P24" s="78">
        <v>0</v>
      </c>
      <c r="Q24" s="1">
        <v>8</v>
      </c>
      <c r="R24" s="1">
        <v>0</v>
      </c>
      <c r="S24" s="1">
        <v>7</v>
      </c>
      <c r="T24" s="1">
        <v>0</v>
      </c>
      <c r="U24" s="79">
        <v>8</v>
      </c>
      <c r="V24" s="78">
        <v>0</v>
      </c>
      <c r="W24" s="79">
        <v>0</v>
      </c>
      <c r="X24" s="78">
        <v>0</v>
      </c>
      <c r="Y24" s="1">
        <v>26</v>
      </c>
      <c r="Z24" s="1">
        <v>0</v>
      </c>
      <c r="AA24" s="1">
        <v>23</v>
      </c>
      <c r="AB24" s="1">
        <v>0</v>
      </c>
      <c r="AC24" s="79">
        <v>21</v>
      </c>
      <c r="AD24" s="95" t="s">
        <v>141</v>
      </c>
      <c r="AE24" s="24">
        <f t="shared" si="0"/>
        <v>2700</v>
      </c>
      <c r="AF24" s="24">
        <f t="shared" si="1"/>
        <v>0.75</v>
      </c>
      <c r="AG24" s="24">
        <f t="shared" si="2"/>
        <v>32</v>
      </c>
      <c r="AH24" s="24">
        <f t="shared" si="3"/>
        <v>8.8888888888888889E-3</v>
      </c>
      <c r="AI24" s="24">
        <f t="shared" si="4"/>
        <v>17.666666666666668</v>
      </c>
      <c r="AJ24" s="24">
        <f t="shared" si="5"/>
        <v>4.9074074074074081E-3</v>
      </c>
    </row>
    <row r="25" spans="1:36" x14ac:dyDescent="0.25">
      <c r="A25" s="1">
        <v>22</v>
      </c>
      <c r="B25" s="1" t="s">
        <v>11</v>
      </c>
      <c r="C25" s="1" t="s">
        <v>255</v>
      </c>
      <c r="D25" s="1" t="s">
        <v>176</v>
      </c>
      <c r="E25" s="9" t="s">
        <v>63</v>
      </c>
      <c r="F25" s="124" t="s">
        <v>45</v>
      </c>
      <c r="G25" s="9" t="str">
        <f>VLOOKUP(D25,'Asignacion Maquina'!$E$2:$F$76,2,0)</f>
        <v>Torno 1</v>
      </c>
      <c r="H25" s="73" t="s">
        <v>271</v>
      </c>
      <c r="I25" s="78">
        <v>50</v>
      </c>
      <c r="J25" s="79">
        <v>0</v>
      </c>
      <c r="K25" s="84">
        <v>1</v>
      </c>
      <c r="L25" s="73" t="s">
        <v>271</v>
      </c>
      <c r="M25" s="76">
        <v>0</v>
      </c>
      <c r="N25" s="77">
        <v>63</v>
      </c>
      <c r="O25" s="73" t="s">
        <v>271</v>
      </c>
      <c r="P25" s="76">
        <v>1</v>
      </c>
      <c r="Q25" s="2">
        <v>34</v>
      </c>
      <c r="R25" s="2">
        <v>1</v>
      </c>
      <c r="S25" s="2">
        <v>29</v>
      </c>
      <c r="T25" s="2">
        <v>1</v>
      </c>
      <c r="U25" s="77">
        <v>26</v>
      </c>
      <c r="V25" s="78">
        <v>0</v>
      </c>
      <c r="W25" s="79">
        <v>0</v>
      </c>
      <c r="X25" s="78">
        <v>0</v>
      </c>
      <c r="Y25" s="1">
        <v>20</v>
      </c>
      <c r="Z25" s="1">
        <v>0</v>
      </c>
      <c r="AA25" s="1">
        <v>23</v>
      </c>
      <c r="AB25" s="1">
        <v>0</v>
      </c>
      <c r="AC25" s="79">
        <v>19</v>
      </c>
      <c r="AD25" s="95"/>
      <c r="AE25" s="24">
        <f t="shared" si="0"/>
        <v>3000</v>
      </c>
      <c r="AF25" s="24">
        <f t="shared" si="1"/>
        <v>0.83333333333333337</v>
      </c>
      <c r="AG25" s="24">
        <f t="shared" si="2"/>
        <v>63</v>
      </c>
      <c r="AH25" s="24">
        <f t="shared" si="3"/>
        <v>1.7500000000000002E-2</v>
      </c>
      <c r="AI25" s="24">
        <f t="shared" si="4"/>
        <v>251.66666666666666</v>
      </c>
      <c r="AJ25" s="24">
        <f t="shared" si="5"/>
        <v>6.9907407407407404E-2</v>
      </c>
    </row>
    <row r="26" spans="1:36" x14ac:dyDescent="0.25">
      <c r="A26" s="1">
        <v>23</v>
      </c>
      <c r="B26" s="1" t="s">
        <v>11</v>
      </c>
      <c r="C26" s="1" t="s">
        <v>254</v>
      </c>
      <c r="D26" s="1" t="s">
        <v>212</v>
      </c>
      <c r="E26" s="9" t="s">
        <v>60</v>
      </c>
      <c r="F26" s="124" t="s">
        <v>45</v>
      </c>
      <c r="G26" s="9" t="str">
        <f>VLOOKUP(D26,'Asignacion Maquina'!$E$2:$F$76,2,0)</f>
        <v>Torno 3</v>
      </c>
      <c r="H26" s="73" t="s">
        <v>271</v>
      </c>
      <c r="I26" s="76">
        <v>60</v>
      </c>
      <c r="J26" s="77">
        <v>47</v>
      </c>
      <c r="K26" s="84">
        <v>1</v>
      </c>
      <c r="L26" s="73" t="s">
        <v>271</v>
      </c>
      <c r="M26" s="76">
        <v>0</v>
      </c>
      <c r="N26" s="79">
        <v>125</v>
      </c>
      <c r="O26" s="73" t="s">
        <v>271</v>
      </c>
      <c r="P26" s="78">
        <v>0</v>
      </c>
      <c r="Q26" s="1">
        <v>15</v>
      </c>
      <c r="R26" s="1">
        <v>0</v>
      </c>
      <c r="S26" s="1">
        <v>20</v>
      </c>
      <c r="T26" s="1">
        <v>0</v>
      </c>
      <c r="U26" s="79">
        <v>17</v>
      </c>
      <c r="V26" s="78">
        <v>0</v>
      </c>
      <c r="W26" s="79">
        <v>0</v>
      </c>
      <c r="X26" s="78">
        <v>1</v>
      </c>
      <c r="Y26" s="1">
        <v>44</v>
      </c>
      <c r="Z26" s="1">
        <v>1</v>
      </c>
      <c r="AA26" s="1">
        <v>48</v>
      </c>
      <c r="AB26" s="1">
        <v>1</v>
      </c>
      <c r="AC26" s="79">
        <v>40</v>
      </c>
      <c r="AD26" s="95"/>
      <c r="AE26" s="24">
        <f t="shared" si="0"/>
        <v>3647</v>
      </c>
      <c r="AF26" s="24">
        <f t="shared" si="1"/>
        <v>1.0130555555555556</v>
      </c>
      <c r="AG26" s="24">
        <f t="shared" si="2"/>
        <v>125</v>
      </c>
      <c r="AH26" s="24">
        <f t="shared" si="3"/>
        <v>3.4722222222222224E-2</v>
      </c>
      <c r="AI26" s="24">
        <f t="shared" si="4"/>
        <v>40.666666666666664</v>
      </c>
      <c r="AJ26" s="24">
        <f t="shared" si="5"/>
        <v>1.1296296296296296E-2</v>
      </c>
    </row>
    <row r="27" spans="1:36" x14ac:dyDescent="0.25">
      <c r="A27" s="1">
        <v>24</v>
      </c>
      <c r="B27" s="1" t="s">
        <v>11</v>
      </c>
      <c r="C27" s="1" t="s">
        <v>254</v>
      </c>
      <c r="D27" s="1" t="s">
        <v>216</v>
      </c>
      <c r="E27" s="23" t="s">
        <v>133</v>
      </c>
      <c r="F27" s="124" t="s">
        <v>45</v>
      </c>
      <c r="G27" s="9" t="str">
        <f>VLOOKUP(D27,'Asignacion Maquina'!$E$2:$F$76,2,0)</f>
        <v>Torno 1</v>
      </c>
      <c r="H27" s="73" t="s">
        <v>271</v>
      </c>
      <c r="I27" s="76">
        <v>170</v>
      </c>
      <c r="J27" s="77">
        <v>0</v>
      </c>
      <c r="K27" s="84">
        <v>1</v>
      </c>
      <c r="L27" s="73" t="s">
        <v>271</v>
      </c>
      <c r="M27" s="76">
        <v>0</v>
      </c>
      <c r="N27" s="79">
        <v>150</v>
      </c>
      <c r="O27" s="73" t="s">
        <v>271</v>
      </c>
      <c r="P27" s="78">
        <v>0</v>
      </c>
      <c r="Q27" s="1">
        <v>8</v>
      </c>
      <c r="R27" s="1">
        <v>0</v>
      </c>
      <c r="S27" s="1">
        <v>10</v>
      </c>
      <c r="T27" s="1">
        <v>0</v>
      </c>
      <c r="U27" s="79">
        <v>9</v>
      </c>
      <c r="V27" s="78">
        <v>0</v>
      </c>
      <c r="W27" s="79">
        <v>0</v>
      </c>
      <c r="X27" s="78">
        <v>0</v>
      </c>
      <c r="Y27" s="1">
        <v>18</v>
      </c>
      <c r="Z27" s="1">
        <v>0</v>
      </c>
      <c r="AA27" s="1">
        <v>22</v>
      </c>
      <c r="AB27" s="1">
        <v>0</v>
      </c>
      <c r="AC27" s="79">
        <v>20</v>
      </c>
      <c r="AD27" s="95" t="s">
        <v>126</v>
      </c>
      <c r="AE27" s="24">
        <f t="shared" si="0"/>
        <v>10200</v>
      </c>
      <c r="AF27" s="24">
        <f t="shared" si="1"/>
        <v>2.8333333333333335</v>
      </c>
      <c r="AG27" s="24">
        <f t="shared" si="2"/>
        <v>150</v>
      </c>
      <c r="AH27" s="24">
        <f t="shared" si="3"/>
        <v>4.1666666666666664E-2</v>
      </c>
      <c r="AI27" s="24">
        <f t="shared" si="4"/>
        <v>21</v>
      </c>
      <c r="AJ27" s="24">
        <f t="shared" si="5"/>
        <v>5.8333333333333336E-3</v>
      </c>
    </row>
    <row r="28" spans="1:36" x14ac:dyDescent="0.25">
      <c r="A28" s="1">
        <v>25</v>
      </c>
      <c r="B28" s="1" t="s">
        <v>11</v>
      </c>
      <c r="C28" s="1" t="s">
        <v>254</v>
      </c>
      <c r="D28" s="1" t="s">
        <v>209</v>
      </c>
      <c r="E28" s="9" t="s">
        <v>99</v>
      </c>
      <c r="F28" s="124" t="s">
        <v>45</v>
      </c>
      <c r="G28" s="9" t="str">
        <f>VLOOKUP(D28,'Asignacion Maquina'!$E$2:$F$76,2,0)</f>
        <v>Torno 3</v>
      </c>
      <c r="H28" s="73" t="s">
        <v>270</v>
      </c>
      <c r="I28" s="76">
        <v>0</v>
      </c>
      <c r="J28" s="111">
        <v>4575.8461538461543</v>
      </c>
      <c r="K28" s="84">
        <v>1</v>
      </c>
      <c r="L28" s="73" t="s">
        <v>271</v>
      </c>
      <c r="M28" s="76">
        <v>0</v>
      </c>
      <c r="N28" s="81">
        <v>51</v>
      </c>
      <c r="O28" s="73" t="s">
        <v>271</v>
      </c>
      <c r="P28" s="78">
        <v>0</v>
      </c>
      <c r="Q28" s="1">
        <v>5</v>
      </c>
      <c r="R28" s="1">
        <v>0</v>
      </c>
      <c r="S28" s="1">
        <v>6</v>
      </c>
      <c r="T28" s="1">
        <v>0</v>
      </c>
      <c r="U28" s="79">
        <v>6</v>
      </c>
      <c r="V28" s="78">
        <v>0</v>
      </c>
      <c r="W28" s="79">
        <v>0</v>
      </c>
      <c r="X28" s="78">
        <v>0</v>
      </c>
      <c r="Y28" s="1">
        <v>17</v>
      </c>
      <c r="Z28" s="1">
        <v>0</v>
      </c>
      <c r="AA28" s="1">
        <v>18</v>
      </c>
      <c r="AB28" s="1">
        <v>0</v>
      </c>
      <c r="AC28" s="79">
        <v>16</v>
      </c>
      <c r="AD28" s="95"/>
      <c r="AE28" s="24">
        <f t="shared" si="0"/>
        <v>4575.8461538461543</v>
      </c>
      <c r="AF28" s="114">
        <f t="shared" si="1"/>
        <v>1.2710683760683761</v>
      </c>
      <c r="AG28" s="24">
        <f t="shared" si="2"/>
        <v>51</v>
      </c>
      <c r="AH28" s="24">
        <f t="shared" si="3"/>
        <v>1.4166666666666666E-2</v>
      </c>
      <c r="AI28" s="24">
        <f t="shared" si="4"/>
        <v>13</v>
      </c>
      <c r="AJ28" s="24">
        <f t="shared" si="5"/>
        <v>3.6111111111111109E-3</v>
      </c>
    </row>
    <row r="29" spans="1:36" x14ac:dyDescent="0.25">
      <c r="A29" s="1">
        <v>26</v>
      </c>
      <c r="B29" s="1" t="s">
        <v>11</v>
      </c>
      <c r="C29" s="1" t="s">
        <v>254</v>
      </c>
      <c r="D29" s="1" t="s">
        <v>210</v>
      </c>
      <c r="E29" s="9" t="s">
        <v>100</v>
      </c>
      <c r="F29" s="124" t="s">
        <v>45</v>
      </c>
      <c r="G29" s="9" t="str">
        <f>VLOOKUP(D29,'Asignacion Maquina'!$E$2:$F$76,2,0)</f>
        <v>Torno 2</v>
      </c>
      <c r="H29" s="73" t="s">
        <v>270</v>
      </c>
      <c r="I29" s="76">
        <v>0</v>
      </c>
      <c r="J29" s="111">
        <v>4575.8461538461543</v>
      </c>
      <c r="K29" s="84">
        <v>1</v>
      </c>
      <c r="L29" s="73" t="s">
        <v>271</v>
      </c>
      <c r="M29" s="76">
        <v>0</v>
      </c>
      <c r="N29" s="87">
        <v>430</v>
      </c>
      <c r="O29" s="73" t="s">
        <v>271</v>
      </c>
      <c r="P29" s="76">
        <v>0</v>
      </c>
      <c r="Q29" s="2">
        <v>3</v>
      </c>
      <c r="R29" s="2">
        <v>0</v>
      </c>
      <c r="S29" s="2">
        <v>4</v>
      </c>
      <c r="T29" s="2">
        <v>0</v>
      </c>
      <c r="U29" s="77">
        <v>3</v>
      </c>
      <c r="V29" s="78">
        <v>0</v>
      </c>
      <c r="W29" s="79">
        <v>0</v>
      </c>
      <c r="X29" s="78">
        <v>0</v>
      </c>
      <c r="Y29" s="1">
        <v>32</v>
      </c>
      <c r="Z29" s="1">
        <v>0</v>
      </c>
      <c r="AA29" s="1">
        <v>38</v>
      </c>
      <c r="AB29" s="1">
        <v>0</v>
      </c>
      <c r="AC29" s="79">
        <v>40</v>
      </c>
      <c r="AD29" s="95"/>
      <c r="AE29" s="24">
        <f t="shared" si="0"/>
        <v>4575.8461538461543</v>
      </c>
      <c r="AF29" s="114">
        <f t="shared" si="1"/>
        <v>1.2710683760683761</v>
      </c>
      <c r="AG29" s="24">
        <f t="shared" si="2"/>
        <v>430</v>
      </c>
      <c r="AH29" s="24">
        <f t="shared" si="3"/>
        <v>0.11944444444444445</v>
      </c>
      <c r="AI29" s="24">
        <f t="shared" si="4"/>
        <v>8</v>
      </c>
      <c r="AJ29" s="24">
        <f t="shared" si="5"/>
        <v>2.2222222222222222E-3</v>
      </c>
    </row>
    <row r="30" spans="1:36" x14ac:dyDescent="0.25">
      <c r="A30" s="1">
        <v>27</v>
      </c>
      <c r="B30" s="1" t="s">
        <v>11</v>
      </c>
      <c r="C30" s="1" t="s">
        <v>254</v>
      </c>
      <c r="D30" s="1" t="s">
        <v>207</v>
      </c>
      <c r="E30" s="23" t="s">
        <v>109</v>
      </c>
      <c r="F30" s="124" t="s">
        <v>45</v>
      </c>
      <c r="G30" s="9" t="str">
        <f>VLOOKUP(D30,'Asignacion Maquina'!$E$2:$F$76,2,0)</f>
        <v>Torno 4</v>
      </c>
      <c r="H30" s="73" t="s">
        <v>270</v>
      </c>
      <c r="I30" s="76">
        <v>0</v>
      </c>
      <c r="J30" s="111">
        <v>4575.8461538461543</v>
      </c>
      <c r="K30" s="84">
        <v>1</v>
      </c>
      <c r="L30" s="73" t="s">
        <v>271</v>
      </c>
      <c r="M30" s="76">
        <v>0</v>
      </c>
      <c r="N30" s="79">
        <v>81</v>
      </c>
      <c r="O30" s="73" t="s">
        <v>271</v>
      </c>
      <c r="P30" s="78">
        <v>0</v>
      </c>
      <c r="Q30" s="1">
        <v>35</v>
      </c>
      <c r="R30" s="1">
        <v>0</v>
      </c>
      <c r="S30" s="1">
        <v>28</v>
      </c>
      <c r="T30" s="1">
        <v>0</v>
      </c>
      <c r="U30" s="79">
        <v>31</v>
      </c>
      <c r="V30" s="78">
        <v>0</v>
      </c>
      <c r="W30" s="79">
        <v>0</v>
      </c>
      <c r="X30" s="78">
        <v>0</v>
      </c>
      <c r="Y30" s="1">
        <v>40</v>
      </c>
      <c r="Z30" s="1">
        <v>0</v>
      </c>
      <c r="AA30" s="1">
        <v>43</v>
      </c>
      <c r="AB30" s="1">
        <v>0</v>
      </c>
      <c r="AC30" s="79">
        <v>45</v>
      </c>
      <c r="AD30" s="95"/>
      <c r="AE30" s="24">
        <f t="shared" si="0"/>
        <v>4575.8461538461543</v>
      </c>
      <c r="AF30" s="114">
        <f t="shared" si="1"/>
        <v>1.2710683760683761</v>
      </c>
      <c r="AG30" s="24">
        <f t="shared" si="2"/>
        <v>81</v>
      </c>
      <c r="AH30" s="24">
        <f t="shared" si="3"/>
        <v>2.2499999999999999E-2</v>
      </c>
      <c r="AI30" s="24">
        <f t="shared" si="4"/>
        <v>73.333333333333329</v>
      </c>
      <c r="AJ30" s="24">
        <f t="shared" si="5"/>
        <v>2.0370370370370369E-2</v>
      </c>
    </row>
    <row r="31" spans="1:36" x14ac:dyDescent="0.25">
      <c r="A31" s="1">
        <v>28</v>
      </c>
      <c r="B31" s="1" t="s">
        <v>11</v>
      </c>
      <c r="C31" s="1" t="s">
        <v>254</v>
      </c>
      <c r="D31" s="1" t="s">
        <v>211</v>
      </c>
      <c r="E31" s="23" t="s">
        <v>108</v>
      </c>
      <c r="F31" s="124" t="s">
        <v>92</v>
      </c>
      <c r="G31" s="9" t="str">
        <f>VLOOKUP(D31,'Asignacion Maquina'!$E$2:$F$76,2,0)</f>
        <v>Torno 2</v>
      </c>
      <c r="H31" s="73" t="s">
        <v>270</v>
      </c>
      <c r="I31" s="76">
        <v>0</v>
      </c>
      <c r="J31" s="111">
        <v>4575.8461538461543</v>
      </c>
      <c r="K31" s="84">
        <v>1</v>
      </c>
      <c r="L31" s="73" t="s">
        <v>271</v>
      </c>
      <c r="M31" s="76">
        <v>0</v>
      </c>
      <c r="N31" s="79">
        <v>162</v>
      </c>
      <c r="O31" s="73" t="s">
        <v>271</v>
      </c>
      <c r="P31" s="78">
        <v>1</v>
      </c>
      <c r="Q31" s="1">
        <v>45</v>
      </c>
      <c r="R31" s="1">
        <v>1</v>
      </c>
      <c r="S31" s="1">
        <v>36</v>
      </c>
      <c r="T31" s="1">
        <v>1</v>
      </c>
      <c r="U31" s="79">
        <v>41</v>
      </c>
      <c r="V31" s="78">
        <v>0</v>
      </c>
      <c r="W31" s="79">
        <v>0</v>
      </c>
      <c r="X31" s="78">
        <v>1</v>
      </c>
      <c r="Y31" s="1">
        <v>20</v>
      </c>
      <c r="Z31" s="1">
        <v>1</v>
      </c>
      <c r="AA31" s="1">
        <v>23</v>
      </c>
      <c r="AB31" s="1">
        <v>1</v>
      </c>
      <c r="AC31" s="79">
        <v>26</v>
      </c>
      <c r="AD31" s="95"/>
      <c r="AE31" s="24">
        <f t="shared" si="0"/>
        <v>4575.8461538461543</v>
      </c>
      <c r="AF31" s="114">
        <f t="shared" si="1"/>
        <v>1.2710683760683761</v>
      </c>
      <c r="AG31" s="24">
        <f t="shared" si="2"/>
        <v>162</v>
      </c>
      <c r="AH31" s="24">
        <f t="shared" si="3"/>
        <v>4.4999999999999998E-2</v>
      </c>
      <c r="AI31" s="24">
        <f t="shared" si="4"/>
        <v>274.66666666666669</v>
      </c>
      <c r="AJ31" s="24">
        <f t="shared" si="5"/>
        <v>7.6296296296296306E-2</v>
      </c>
    </row>
    <row r="32" spans="1:36" x14ac:dyDescent="0.25">
      <c r="A32" s="1">
        <v>29</v>
      </c>
      <c r="B32" s="1" t="s">
        <v>11</v>
      </c>
      <c r="C32" s="1" t="s">
        <v>254</v>
      </c>
      <c r="D32" s="1" t="s">
        <v>206</v>
      </c>
      <c r="E32" s="23" t="s">
        <v>114</v>
      </c>
      <c r="F32" s="124" t="s">
        <v>43</v>
      </c>
      <c r="G32" s="9" t="str">
        <f>VLOOKUP(D32,'Asignacion Maquina'!$E$2:$F$76,2,0)</f>
        <v>Torno 3</v>
      </c>
      <c r="H32" s="73" t="s">
        <v>270</v>
      </c>
      <c r="I32" s="76">
        <v>0</v>
      </c>
      <c r="J32" s="111">
        <v>4575.8461538461543</v>
      </c>
      <c r="K32" s="84">
        <v>1</v>
      </c>
      <c r="L32" s="73" t="s">
        <v>271</v>
      </c>
      <c r="M32" s="76">
        <v>0</v>
      </c>
      <c r="N32" s="79">
        <v>86</v>
      </c>
      <c r="O32" s="73" t="s">
        <v>271</v>
      </c>
      <c r="P32" s="78">
        <v>0</v>
      </c>
      <c r="Q32" s="1">
        <v>16</v>
      </c>
      <c r="R32" s="1">
        <v>0</v>
      </c>
      <c r="S32" s="1">
        <v>19</v>
      </c>
      <c r="T32" s="1">
        <v>0</v>
      </c>
      <c r="U32" s="79">
        <v>17</v>
      </c>
      <c r="V32" s="78">
        <v>0</v>
      </c>
      <c r="W32" s="79">
        <v>0</v>
      </c>
      <c r="X32" s="78">
        <v>0</v>
      </c>
      <c r="Y32" s="1">
        <v>45</v>
      </c>
      <c r="Z32" s="1">
        <v>0</v>
      </c>
      <c r="AA32" s="1">
        <v>47</v>
      </c>
      <c r="AB32" s="1">
        <v>0</v>
      </c>
      <c r="AC32" s="79">
        <v>50</v>
      </c>
      <c r="AD32" s="95"/>
      <c r="AE32" s="24">
        <f t="shared" si="0"/>
        <v>4575.8461538461543</v>
      </c>
      <c r="AF32" s="114">
        <f t="shared" si="1"/>
        <v>1.2710683760683761</v>
      </c>
      <c r="AG32" s="24">
        <f t="shared" si="2"/>
        <v>86</v>
      </c>
      <c r="AH32" s="24">
        <f t="shared" si="3"/>
        <v>2.388888888888889E-2</v>
      </c>
      <c r="AI32" s="24">
        <f t="shared" si="4"/>
        <v>40.666666666666664</v>
      </c>
      <c r="AJ32" s="24">
        <f t="shared" si="5"/>
        <v>1.1296296296296296E-2</v>
      </c>
    </row>
    <row r="33" spans="1:36" x14ac:dyDescent="0.25">
      <c r="A33" s="1">
        <v>30</v>
      </c>
      <c r="B33" s="1" t="s">
        <v>11</v>
      </c>
      <c r="C33" s="1" t="s">
        <v>253</v>
      </c>
      <c r="D33" s="1" t="s">
        <v>208</v>
      </c>
      <c r="E33" s="23" t="s">
        <v>145</v>
      </c>
      <c r="F33" s="124" t="s">
        <v>146</v>
      </c>
      <c r="G33" s="9" t="str">
        <f>VLOOKUP(D33,'Asignacion Maquina'!$E$2:$F$76,2,0)</f>
        <v>Torno 1</v>
      </c>
      <c r="H33" s="73" t="s">
        <v>270</v>
      </c>
      <c r="I33" s="76">
        <v>0</v>
      </c>
      <c r="J33" s="111">
        <v>4575.8461538461543</v>
      </c>
      <c r="K33" s="84">
        <v>1</v>
      </c>
      <c r="L33" s="73" t="s">
        <v>271</v>
      </c>
      <c r="M33" s="76">
        <v>0</v>
      </c>
      <c r="N33" s="79">
        <v>50</v>
      </c>
      <c r="O33" s="73" t="s">
        <v>271</v>
      </c>
      <c r="P33" s="78">
        <v>0</v>
      </c>
      <c r="Q33" s="1">
        <v>7</v>
      </c>
      <c r="R33" s="1">
        <v>0</v>
      </c>
      <c r="S33" s="1">
        <v>7</v>
      </c>
      <c r="T33" s="1">
        <v>0</v>
      </c>
      <c r="U33" s="79">
        <v>6</v>
      </c>
      <c r="V33" s="78">
        <v>0</v>
      </c>
      <c r="W33" s="79">
        <v>0</v>
      </c>
      <c r="X33" s="78">
        <v>0</v>
      </c>
      <c r="Y33" s="1">
        <v>8</v>
      </c>
      <c r="Z33" s="1">
        <v>0</v>
      </c>
      <c r="AA33" s="1">
        <v>8</v>
      </c>
      <c r="AB33" s="1">
        <v>0</v>
      </c>
      <c r="AC33" s="79">
        <v>9</v>
      </c>
      <c r="AD33" s="95" t="s">
        <v>124</v>
      </c>
      <c r="AE33" s="24">
        <f t="shared" si="0"/>
        <v>4575.8461538461543</v>
      </c>
      <c r="AF33" s="114">
        <f t="shared" si="1"/>
        <v>1.2710683760683761</v>
      </c>
      <c r="AG33" s="24">
        <f t="shared" si="2"/>
        <v>50</v>
      </c>
      <c r="AH33" s="24">
        <f t="shared" si="3"/>
        <v>1.3888888888888888E-2</v>
      </c>
      <c r="AI33" s="24">
        <f t="shared" si="4"/>
        <v>16</v>
      </c>
      <c r="AJ33" s="24">
        <f t="shared" si="5"/>
        <v>4.4444444444444444E-3</v>
      </c>
    </row>
    <row r="34" spans="1:36" x14ac:dyDescent="0.25">
      <c r="A34" s="1">
        <v>31</v>
      </c>
      <c r="B34" s="3" t="s">
        <v>11</v>
      </c>
      <c r="C34" s="3" t="s">
        <v>253</v>
      </c>
      <c r="D34" s="1" t="s">
        <v>248</v>
      </c>
      <c r="E34" s="27" t="s">
        <v>152</v>
      </c>
      <c r="F34" s="125" t="s">
        <v>71</v>
      </c>
      <c r="G34" s="9" t="str">
        <f>VLOOKUP(D34,'Asignacion Maquina'!$E$2:$F$76,2,0)</f>
        <v>Torno 2</v>
      </c>
      <c r="H34" s="73" t="s">
        <v>270</v>
      </c>
      <c r="I34" s="80">
        <v>0</v>
      </c>
      <c r="J34" s="111">
        <v>4575.8461538461543</v>
      </c>
      <c r="K34" s="85">
        <v>1</v>
      </c>
      <c r="L34" s="73" t="s">
        <v>271</v>
      </c>
      <c r="M34" s="76">
        <v>0</v>
      </c>
      <c r="N34" s="87">
        <v>90</v>
      </c>
      <c r="O34" s="73" t="s">
        <v>271</v>
      </c>
      <c r="P34" s="90">
        <v>0</v>
      </c>
      <c r="Q34" s="3">
        <v>36</v>
      </c>
      <c r="R34" s="3">
        <v>0</v>
      </c>
      <c r="S34" s="3">
        <v>38</v>
      </c>
      <c r="T34" s="3">
        <v>0</v>
      </c>
      <c r="U34" s="87">
        <v>4</v>
      </c>
      <c r="V34" s="90">
        <v>0</v>
      </c>
      <c r="W34" s="87">
        <v>0</v>
      </c>
      <c r="X34" s="90">
        <v>0</v>
      </c>
      <c r="Y34" s="3">
        <v>40</v>
      </c>
      <c r="Z34" s="3">
        <v>0</v>
      </c>
      <c r="AA34" s="3">
        <v>36</v>
      </c>
      <c r="AB34" s="3">
        <v>0</v>
      </c>
      <c r="AC34" s="87">
        <v>45</v>
      </c>
      <c r="AD34" s="97" t="s">
        <v>122</v>
      </c>
      <c r="AE34" s="28">
        <f t="shared" si="0"/>
        <v>4575.8461538461543</v>
      </c>
      <c r="AF34" s="114">
        <f t="shared" si="1"/>
        <v>1.2710683760683761</v>
      </c>
      <c r="AG34" s="24">
        <f t="shared" si="2"/>
        <v>90</v>
      </c>
      <c r="AH34" s="24">
        <f t="shared" si="3"/>
        <v>2.5000000000000001E-2</v>
      </c>
      <c r="AI34" s="24">
        <f t="shared" si="4"/>
        <v>75.333333333333329</v>
      </c>
      <c r="AJ34" s="28">
        <v>3.111111111111111E-2</v>
      </c>
    </row>
    <row r="35" spans="1:36" x14ac:dyDescent="0.25">
      <c r="A35" s="1">
        <v>32</v>
      </c>
      <c r="B35" s="1" t="s">
        <v>11</v>
      </c>
      <c r="C35" s="1" t="s">
        <v>253</v>
      </c>
      <c r="D35" s="1" t="s">
        <v>172</v>
      </c>
      <c r="E35" s="9" t="s">
        <v>44</v>
      </c>
      <c r="F35" s="124" t="s">
        <v>45</v>
      </c>
      <c r="G35" s="9" t="str">
        <f>VLOOKUP(D35,'Asignacion Maquina'!$E$2:$F$76,2,0)</f>
        <v>Torno 5</v>
      </c>
      <c r="H35" s="73" t="s">
        <v>270</v>
      </c>
      <c r="I35" s="78">
        <v>0</v>
      </c>
      <c r="J35" s="111">
        <v>4575.8461538461543</v>
      </c>
      <c r="K35" s="84">
        <v>1</v>
      </c>
      <c r="L35" s="73" t="s">
        <v>271</v>
      </c>
      <c r="M35" s="76">
        <v>0</v>
      </c>
      <c r="N35" s="77">
        <v>270</v>
      </c>
      <c r="O35" s="73" t="s">
        <v>271</v>
      </c>
      <c r="P35" s="76">
        <v>0</v>
      </c>
      <c r="Q35" s="1">
        <v>38</v>
      </c>
      <c r="R35" s="1">
        <v>0</v>
      </c>
      <c r="S35" s="1">
        <v>32</v>
      </c>
      <c r="T35" s="1">
        <v>0</v>
      </c>
      <c r="U35" s="79">
        <v>40</v>
      </c>
      <c r="V35" s="78">
        <v>0</v>
      </c>
      <c r="W35" s="79">
        <v>34</v>
      </c>
      <c r="X35" s="78">
        <v>0</v>
      </c>
      <c r="Y35" s="1">
        <v>10</v>
      </c>
      <c r="Z35" s="1">
        <v>0</v>
      </c>
      <c r="AA35" s="1">
        <v>9</v>
      </c>
      <c r="AB35" s="1">
        <v>0</v>
      </c>
      <c r="AC35" s="79">
        <v>8</v>
      </c>
      <c r="AD35" s="95"/>
      <c r="AE35" s="24">
        <f t="shared" si="0"/>
        <v>4575.8461538461543</v>
      </c>
      <c r="AF35" s="114">
        <f t="shared" si="1"/>
        <v>1.2710683760683761</v>
      </c>
      <c r="AG35" s="24">
        <f t="shared" si="2"/>
        <v>270</v>
      </c>
      <c r="AH35" s="24">
        <f t="shared" si="3"/>
        <v>7.4999999999999997E-2</v>
      </c>
      <c r="AI35" s="24">
        <f t="shared" si="4"/>
        <v>83.333333333333329</v>
      </c>
      <c r="AJ35" s="24">
        <f t="shared" ref="AJ35:AJ78" si="6">AI35/3600</f>
        <v>2.3148148148148147E-2</v>
      </c>
    </row>
    <row r="36" spans="1:36" x14ac:dyDescent="0.25">
      <c r="A36" s="1">
        <v>33</v>
      </c>
      <c r="B36" s="1" t="s">
        <v>11</v>
      </c>
      <c r="C36" s="1" t="s">
        <v>253</v>
      </c>
      <c r="D36" s="1" t="s">
        <v>193</v>
      </c>
      <c r="E36" s="9" t="s">
        <v>47</v>
      </c>
      <c r="F36" s="124" t="s">
        <v>45</v>
      </c>
      <c r="G36" s="9" t="str">
        <f>VLOOKUP(D36,'Asignacion Maquina'!$E$2:$F$76,2,0)</f>
        <v>Torno 1</v>
      </c>
      <c r="H36" s="73" t="s">
        <v>270</v>
      </c>
      <c r="I36" s="76">
        <v>0</v>
      </c>
      <c r="J36" s="111">
        <v>4575.8461538461543</v>
      </c>
      <c r="K36" s="84">
        <v>1</v>
      </c>
      <c r="L36" s="73" t="s">
        <v>271</v>
      </c>
      <c r="M36" s="76">
        <v>0</v>
      </c>
      <c r="N36" s="77">
        <v>61</v>
      </c>
      <c r="O36" s="73" t="s">
        <v>271</v>
      </c>
      <c r="P36" s="76">
        <v>0</v>
      </c>
      <c r="Q36" s="2">
        <v>2</v>
      </c>
      <c r="R36" s="2">
        <v>0</v>
      </c>
      <c r="S36" s="2">
        <v>3</v>
      </c>
      <c r="T36" s="2">
        <v>0</v>
      </c>
      <c r="U36" s="77">
        <v>2</v>
      </c>
      <c r="V36" s="78">
        <v>4</v>
      </c>
      <c r="W36" s="79">
        <v>42</v>
      </c>
      <c r="X36" s="78">
        <v>0</v>
      </c>
      <c r="Y36" s="1">
        <v>12</v>
      </c>
      <c r="Z36" s="1">
        <v>0</v>
      </c>
      <c r="AA36" s="1">
        <v>12</v>
      </c>
      <c r="AB36" s="1">
        <v>0</v>
      </c>
      <c r="AC36" s="79">
        <v>12</v>
      </c>
      <c r="AD36" s="95"/>
      <c r="AE36" s="24">
        <f t="shared" ref="AE36:AE67" si="7">(I36*60)+J36</f>
        <v>4575.8461538461543</v>
      </c>
      <c r="AF36" s="114">
        <f t="shared" ref="AF36:AF67" si="8">AE36/3600</f>
        <v>1.2710683760683761</v>
      </c>
      <c r="AG36" s="24">
        <f t="shared" ref="AG36:AG67" si="9">(M36*60)+N36</f>
        <v>61</v>
      </c>
      <c r="AH36" s="24">
        <f t="shared" ref="AH36:AH67" si="10">AG36/3600</f>
        <v>1.6944444444444446E-2</v>
      </c>
      <c r="AI36" s="24">
        <f t="shared" ref="AI36:AI67" si="11">((P36+R36+T36)*60)+Q36+S36+U36/3</f>
        <v>5.666666666666667</v>
      </c>
      <c r="AJ36" s="24">
        <f t="shared" si="6"/>
        <v>1.5740740740740741E-3</v>
      </c>
    </row>
    <row r="37" spans="1:36" x14ac:dyDescent="0.25">
      <c r="A37" s="1">
        <v>34</v>
      </c>
      <c r="B37" s="1" t="s">
        <v>11</v>
      </c>
      <c r="C37" s="1" t="s">
        <v>253</v>
      </c>
      <c r="D37" s="1" t="s">
        <v>166</v>
      </c>
      <c r="E37" s="9" t="s">
        <v>48</v>
      </c>
      <c r="F37" s="124" t="s">
        <v>45</v>
      </c>
      <c r="G37" s="9" t="str">
        <f>VLOOKUP(D37,'Asignacion Maquina'!$E$2:$F$76,2,0)</f>
        <v>Torno 6</v>
      </c>
      <c r="H37" s="73" t="s">
        <v>270</v>
      </c>
      <c r="I37" s="76">
        <v>0</v>
      </c>
      <c r="J37" s="111">
        <v>4575.8461538461543</v>
      </c>
      <c r="K37" s="84">
        <v>1</v>
      </c>
      <c r="L37" s="73" t="s">
        <v>271</v>
      </c>
      <c r="M37" s="76">
        <v>0</v>
      </c>
      <c r="N37" s="77">
        <v>185</v>
      </c>
      <c r="O37" s="73" t="s">
        <v>271</v>
      </c>
      <c r="P37" s="76">
        <v>0</v>
      </c>
      <c r="Q37" s="2">
        <v>15</v>
      </c>
      <c r="R37" s="2">
        <v>0</v>
      </c>
      <c r="S37" s="2">
        <v>18</v>
      </c>
      <c r="T37" s="2">
        <v>0</v>
      </c>
      <c r="U37" s="77">
        <v>17</v>
      </c>
      <c r="V37" s="76">
        <v>0</v>
      </c>
      <c r="W37" s="77">
        <v>0</v>
      </c>
      <c r="X37" s="78">
        <v>0</v>
      </c>
      <c r="Y37" s="1">
        <v>1.41</v>
      </c>
      <c r="Z37" s="1">
        <v>0</v>
      </c>
      <c r="AA37" s="1">
        <v>1.28</v>
      </c>
      <c r="AB37" s="1">
        <v>0</v>
      </c>
      <c r="AC37" s="79">
        <v>1.32</v>
      </c>
      <c r="AD37" s="95"/>
      <c r="AE37" s="24">
        <f t="shared" si="7"/>
        <v>4575.8461538461543</v>
      </c>
      <c r="AF37" s="114">
        <f t="shared" si="8"/>
        <v>1.2710683760683761</v>
      </c>
      <c r="AG37" s="24">
        <f t="shared" si="9"/>
        <v>185</v>
      </c>
      <c r="AH37" s="24">
        <f t="shared" si="10"/>
        <v>5.1388888888888887E-2</v>
      </c>
      <c r="AI37" s="24">
        <f t="shared" si="11"/>
        <v>38.666666666666664</v>
      </c>
      <c r="AJ37" s="24">
        <f t="shared" si="6"/>
        <v>1.074074074074074E-2</v>
      </c>
    </row>
    <row r="38" spans="1:36" x14ac:dyDescent="0.25">
      <c r="A38" s="1">
        <v>35</v>
      </c>
      <c r="B38" s="1" t="s">
        <v>11</v>
      </c>
      <c r="C38" s="1" t="s">
        <v>253</v>
      </c>
      <c r="D38" s="1" t="s">
        <v>174</v>
      </c>
      <c r="E38" s="9" t="s">
        <v>49</v>
      </c>
      <c r="F38" s="124" t="s">
        <v>45</v>
      </c>
      <c r="G38" s="9" t="str">
        <f>VLOOKUP(D38,'Asignacion Maquina'!$E$2:$F$76,2,0)</f>
        <v>Torno 5</v>
      </c>
      <c r="H38" s="73" t="s">
        <v>270</v>
      </c>
      <c r="I38" s="76">
        <v>0</v>
      </c>
      <c r="J38" s="111">
        <v>4575.8461538461543</v>
      </c>
      <c r="K38" s="84">
        <v>1</v>
      </c>
      <c r="L38" s="73" t="s">
        <v>271</v>
      </c>
      <c r="M38" s="76">
        <v>0</v>
      </c>
      <c r="N38" s="77">
        <v>80</v>
      </c>
      <c r="O38" s="73" t="s">
        <v>271</v>
      </c>
      <c r="P38" s="76">
        <v>0</v>
      </c>
      <c r="Q38" s="2">
        <v>38</v>
      </c>
      <c r="R38" s="2">
        <v>0</v>
      </c>
      <c r="S38" s="2">
        <v>32</v>
      </c>
      <c r="T38" s="2">
        <v>0</v>
      </c>
      <c r="U38" s="77">
        <v>29</v>
      </c>
      <c r="V38" s="76">
        <v>0</v>
      </c>
      <c r="W38" s="77">
        <v>0</v>
      </c>
      <c r="X38" s="78">
        <v>0</v>
      </c>
      <c r="Y38" s="1">
        <v>13</v>
      </c>
      <c r="Z38" s="1">
        <v>0</v>
      </c>
      <c r="AA38" s="1">
        <v>11</v>
      </c>
      <c r="AB38" s="1">
        <v>0</v>
      </c>
      <c r="AC38" s="79">
        <v>10</v>
      </c>
      <c r="AD38" s="95"/>
      <c r="AE38" s="24">
        <f t="shared" si="7"/>
        <v>4575.8461538461543</v>
      </c>
      <c r="AF38" s="114">
        <f t="shared" si="8"/>
        <v>1.2710683760683761</v>
      </c>
      <c r="AG38" s="24">
        <f t="shared" si="9"/>
        <v>80</v>
      </c>
      <c r="AH38" s="24">
        <f t="shared" si="10"/>
        <v>2.2222222222222223E-2</v>
      </c>
      <c r="AI38" s="24">
        <f t="shared" si="11"/>
        <v>79.666666666666671</v>
      </c>
      <c r="AJ38" s="24">
        <f t="shared" si="6"/>
        <v>2.2129629629629631E-2</v>
      </c>
    </row>
    <row r="39" spans="1:36" x14ac:dyDescent="0.25">
      <c r="A39" s="1">
        <v>36</v>
      </c>
      <c r="B39" s="1" t="s">
        <v>11</v>
      </c>
      <c r="C39" s="1" t="s">
        <v>253</v>
      </c>
      <c r="D39" s="1" t="s">
        <v>191</v>
      </c>
      <c r="E39" s="9" t="s">
        <v>40</v>
      </c>
      <c r="F39" s="124" t="s">
        <v>41</v>
      </c>
      <c r="G39" s="9" t="str">
        <f>VLOOKUP(D39,'Asignacion Maquina'!$E$2:$F$76,2,0)</f>
        <v>Torno 1</v>
      </c>
      <c r="H39" s="73" t="s">
        <v>270</v>
      </c>
      <c r="I39" s="76">
        <v>0</v>
      </c>
      <c r="J39" s="111">
        <v>4575.8461538461543</v>
      </c>
      <c r="K39" s="84">
        <v>1</v>
      </c>
      <c r="L39" s="73" t="s">
        <v>271</v>
      </c>
      <c r="M39" s="76">
        <v>0</v>
      </c>
      <c r="N39" s="77">
        <v>90</v>
      </c>
      <c r="O39" s="73" t="s">
        <v>271</v>
      </c>
      <c r="P39" s="76">
        <v>0</v>
      </c>
      <c r="Q39" s="2">
        <v>3</v>
      </c>
      <c r="R39" s="2">
        <v>0</v>
      </c>
      <c r="S39" s="2">
        <v>4</v>
      </c>
      <c r="T39" s="2">
        <v>0</v>
      </c>
      <c r="U39" s="77">
        <v>3</v>
      </c>
      <c r="V39" s="76">
        <v>0</v>
      </c>
      <c r="W39" s="77">
        <v>45</v>
      </c>
      <c r="X39" s="76">
        <v>0</v>
      </c>
      <c r="Y39" s="2">
        <v>4</v>
      </c>
      <c r="Z39" s="2">
        <v>0</v>
      </c>
      <c r="AA39" s="2">
        <v>6</v>
      </c>
      <c r="AB39" s="2">
        <v>0</v>
      </c>
      <c r="AC39" s="77">
        <v>7</v>
      </c>
      <c r="AD39" s="95"/>
      <c r="AE39" s="24">
        <f t="shared" si="7"/>
        <v>4575.8461538461543</v>
      </c>
      <c r="AF39" s="114">
        <f t="shared" si="8"/>
        <v>1.2710683760683761</v>
      </c>
      <c r="AG39" s="24">
        <f t="shared" si="9"/>
        <v>90</v>
      </c>
      <c r="AH39" s="24">
        <f t="shared" si="10"/>
        <v>2.5000000000000001E-2</v>
      </c>
      <c r="AI39" s="24">
        <f t="shared" si="11"/>
        <v>8</v>
      </c>
      <c r="AJ39" s="24">
        <f t="shared" si="6"/>
        <v>2.2222222222222222E-3</v>
      </c>
    </row>
    <row r="40" spans="1:36" x14ac:dyDescent="0.25">
      <c r="A40" s="1">
        <v>37</v>
      </c>
      <c r="B40" s="1" t="s">
        <v>11</v>
      </c>
      <c r="C40" s="1" t="s">
        <v>253</v>
      </c>
      <c r="D40" s="1" t="s">
        <v>167</v>
      </c>
      <c r="E40" s="9" t="s">
        <v>42</v>
      </c>
      <c r="F40" s="124" t="s">
        <v>43</v>
      </c>
      <c r="G40" s="9" t="str">
        <f>VLOOKUP(D40,'Asignacion Maquina'!$E$2:$F$76,2,0)</f>
        <v>Torno 2</v>
      </c>
      <c r="H40" s="73" t="s">
        <v>270</v>
      </c>
      <c r="I40" s="76">
        <v>0</v>
      </c>
      <c r="J40" s="111">
        <v>4575.8461538461543</v>
      </c>
      <c r="K40" s="84">
        <v>1</v>
      </c>
      <c r="L40" s="73" t="s">
        <v>271</v>
      </c>
      <c r="M40" s="76">
        <v>0</v>
      </c>
      <c r="N40" s="77">
        <v>187</v>
      </c>
      <c r="O40" s="73" t="s">
        <v>271</v>
      </c>
      <c r="P40" s="76">
        <v>0</v>
      </c>
      <c r="Q40" s="2">
        <v>11</v>
      </c>
      <c r="R40" s="2">
        <v>0</v>
      </c>
      <c r="S40" s="2">
        <v>9</v>
      </c>
      <c r="T40" s="2">
        <v>0</v>
      </c>
      <c r="U40" s="77">
        <v>10</v>
      </c>
      <c r="V40" s="76">
        <v>0</v>
      </c>
      <c r="W40" s="77">
        <v>15</v>
      </c>
      <c r="X40" s="76">
        <v>0</v>
      </c>
      <c r="Y40" s="2">
        <v>8</v>
      </c>
      <c r="Z40" s="2">
        <v>0</v>
      </c>
      <c r="AA40" s="2">
        <v>7</v>
      </c>
      <c r="AB40" s="2">
        <v>0</v>
      </c>
      <c r="AC40" s="77">
        <v>8</v>
      </c>
      <c r="AD40" s="95"/>
      <c r="AE40" s="24">
        <f t="shared" si="7"/>
        <v>4575.8461538461543</v>
      </c>
      <c r="AF40" s="114">
        <f t="shared" si="8"/>
        <v>1.2710683760683761</v>
      </c>
      <c r="AG40" s="24">
        <f t="shared" si="9"/>
        <v>187</v>
      </c>
      <c r="AH40" s="24">
        <f t="shared" si="10"/>
        <v>5.1944444444444446E-2</v>
      </c>
      <c r="AI40" s="24">
        <f t="shared" si="11"/>
        <v>23.333333333333332</v>
      </c>
      <c r="AJ40" s="24">
        <f t="shared" si="6"/>
        <v>6.4814814814814813E-3</v>
      </c>
    </row>
    <row r="41" spans="1:36" x14ac:dyDescent="0.25">
      <c r="A41" s="1">
        <v>38</v>
      </c>
      <c r="B41" s="1" t="s">
        <v>11</v>
      </c>
      <c r="C41" s="1" t="s">
        <v>253</v>
      </c>
      <c r="D41" s="1" t="s">
        <v>175</v>
      </c>
      <c r="E41" s="9" t="s">
        <v>69</v>
      </c>
      <c r="F41" s="124" t="s">
        <v>45</v>
      </c>
      <c r="G41" s="9" t="str">
        <f>VLOOKUP(D41,'Asignacion Maquina'!$E$2:$F$76,2,0)</f>
        <v>Torno 1</v>
      </c>
      <c r="H41" s="73" t="s">
        <v>270</v>
      </c>
      <c r="I41" s="76">
        <v>0</v>
      </c>
      <c r="J41" s="111">
        <v>4575.8461538461543</v>
      </c>
      <c r="K41" s="84">
        <v>1</v>
      </c>
      <c r="L41" s="73" t="s">
        <v>271</v>
      </c>
      <c r="M41" s="76">
        <v>0</v>
      </c>
      <c r="N41" s="77">
        <v>158</v>
      </c>
      <c r="O41" s="73" t="s">
        <v>271</v>
      </c>
      <c r="P41" s="76">
        <v>0</v>
      </c>
      <c r="Q41" s="2">
        <v>5</v>
      </c>
      <c r="R41" s="2">
        <v>0</v>
      </c>
      <c r="S41" s="2">
        <v>4</v>
      </c>
      <c r="T41" s="2">
        <v>0</v>
      </c>
      <c r="U41" s="77">
        <v>6</v>
      </c>
      <c r="V41" s="78">
        <v>0</v>
      </c>
      <c r="W41" s="79">
        <v>0</v>
      </c>
      <c r="X41" s="78">
        <v>1</v>
      </c>
      <c r="Y41" s="1">
        <v>16</v>
      </c>
      <c r="Z41" s="1">
        <v>0</v>
      </c>
      <c r="AA41" s="1">
        <v>59</v>
      </c>
      <c r="AB41" s="1">
        <v>1</v>
      </c>
      <c r="AC41" s="79">
        <v>3</v>
      </c>
      <c r="AD41" s="95"/>
      <c r="AE41" s="24">
        <f t="shared" si="7"/>
        <v>4575.8461538461543</v>
      </c>
      <c r="AF41" s="114">
        <f t="shared" si="8"/>
        <v>1.2710683760683761</v>
      </c>
      <c r="AG41" s="24">
        <f t="shared" si="9"/>
        <v>158</v>
      </c>
      <c r="AH41" s="24">
        <f t="shared" si="10"/>
        <v>4.3888888888888887E-2</v>
      </c>
      <c r="AI41" s="24">
        <f t="shared" si="11"/>
        <v>11</v>
      </c>
      <c r="AJ41" s="24">
        <f t="shared" si="6"/>
        <v>3.0555555555555557E-3</v>
      </c>
    </row>
    <row r="42" spans="1:36" x14ac:dyDescent="0.25">
      <c r="A42" s="1">
        <v>39</v>
      </c>
      <c r="B42" s="1" t="s">
        <v>11</v>
      </c>
      <c r="C42" s="1" t="s">
        <v>253</v>
      </c>
      <c r="D42" s="1" t="s">
        <v>178</v>
      </c>
      <c r="E42" s="9" t="s">
        <v>46</v>
      </c>
      <c r="F42" s="124" t="s">
        <v>43</v>
      </c>
      <c r="G42" s="9" t="str">
        <f>VLOOKUP(D42,'Asignacion Maquina'!$E$2:$F$76,2,0)</f>
        <v>Torno 6</v>
      </c>
      <c r="H42" s="73" t="s">
        <v>270</v>
      </c>
      <c r="I42" s="78">
        <v>0</v>
      </c>
      <c r="J42" s="111">
        <v>4575.8461538461543</v>
      </c>
      <c r="K42" s="84">
        <v>1</v>
      </c>
      <c r="L42" s="73" t="s">
        <v>271</v>
      </c>
      <c r="M42" s="76">
        <v>0</v>
      </c>
      <c r="N42" s="77">
        <v>110</v>
      </c>
      <c r="O42" s="73" t="s">
        <v>271</v>
      </c>
      <c r="P42" s="76">
        <v>0</v>
      </c>
      <c r="Q42" s="1">
        <v>6</v>
      </c>
      <c r="R42" s="1">
        <v>0</v>
      </c>
      <c r="S42" s="1">
        <v>11</v>
      </c>
      <c r="T42" s="1">
        <v>0</v>
      </c>
      <c r="U42" s="79">
        <v>9</v>
      </c>
      <c r="V42" s="78">
        <v>0</v>
      </c>
      <c r="W42" s="79">
        <v>40</v>
      </c>
      <c r="X42" s="78">
        <v>0</v>
      </c>
      <c r="Y42" s="1">
        <v>5</v>
      </c>
      <c r="Z42" s="1">
        <v>0</v>
      </c>
      <c r="AA42" s="1">
        <v>6</v>
      </c>
      <c r="AB42" s="1">
        <v>0</v>
      </c>
      <c r="AC42" s="79">
        <v>5</v>
      </c>
      <c r="AD42" s="95"/>
      <c r="AE42" s="24">
        <f t="shared" si="7"/>
        <v>4575.8461538461543</v>
      </c>
      <c r="AF42" s="114">
        <f t="shared" si="8"/>
        <v>1.2710683760683761</v>
      </c>
      <c r="AG42" s="24">
        <f t="shared" si="9"/>
        <v>110</v>
      </c>
      <c r="AH42" s="24">
        <f t="shared" si="10"/>
        <v>3.0555555555555555E-2</v>
      </c>
      <c r="AI42" s="24">
        <f t="shared" si="11"/>
        <v>20</v>
      </c>
      <c r="AJ42" s="24">
        <f t="shared" si="6"/>
        <v>5.5555555555555558E-3</v>
      </c>
    </row>
    <row r="43" spans="1:36" x14ac:dyDescent="0.25">
      <c r="A43" s="1">
        <v>40</v>
      </c>
      <c r="B43" s="1" t="s">
        <v>11</v>
      </c>
      <c r="C43" s="1" t="s">
        <v>253</v>
      </c>
      <c r="D43" s="1" t="s">
        <v>199</v>
      </c>
      <c r="E43" s="23" t="s">
        <v>115</v>
      </c>
      <c r="F43" s="124" t="s">
        <v>45</v>
      </c>
      <c r="G43" s="9" t="str">
        <f>VLOOKUP(D43,'Asignacion Maquina'!$E$2:$F$76,2,0)</f>
        <v>Torno 3</v>
      </c>
      <c r="H43" s="73" t="s">
        <v>270</v>
      </c>
      <c r="I43" s="76">
        <v>0</v>
      </c>
      <c r="J43" s="111">
        <v>4575.8461538461543</v>
      </c>
      <c r="K43" s="84">
        <v>1</v>
      </c>
      <c r="L43" s="73" t="s">
        <v>271</v>
      </c>
      <c r="M43" s="76">
        <v>0</v>
      </c>
      <c r="N43" s="79">
        <v>83</v>
      </c>
      <c r="O43" s="73" t="s">
        <v>271</v>
      </c>
      <c r="P43" s="78">
        <v>0</v>
      </c>
      <c r="Q43" s="1">
        <v>13</v>
      </c>
      <c r="R43" s="1">
        <v>0</v>
      </c>
      <c r="S43" s="1">
        <v>15</v>
      </c>
      <c r="T43" s="1">
        <v>0</v>
      </c>
      <c r="U43" s="79">
        <v>13</v>
      </c>
      <c r="V43" s="78">
        <v>0</v>
      </c>
      <c r="W43" s="79">
        <v>0</v>
      </c>
      <c r="X43" s="78">
        <v>1</v>
      </c>
      <c r="Y43" s="1">
        <v>11</v>
      </c>
      <c r="Z43" s="1">
        <v>0</v>
      </c>
      <c r="AA43" s="1">
        <v>55</v>
      </c>
      <c r="AB43" s="1">
        <v>1</v>
      </c>
      <c r="AC43" s="79">
        <v>0</v>
      </c>
      <c r="AD43" s="95"/>
      <c r="AE43" s="24">
        <f t="shared" si="7"/>
        <v>4575.8461538461543</v>
      </c>
      <c r="AF43" s="114">
        <f t="shared" si="8"/>
        <v>1.2710683760683761</v>
      </c>
      <c r="AG43" s="24">
        <f t="shared" si="9"/>
        <v>83</v>
      </c>
      <c r="AH43" s="24">
        <f t="shared" si="10"/>
        <v>2.3055555555555555E-2</v>
      </c>
      <c r="AI43" s="24">
        <f t="shared" si="11"/>
        <v>32.333333333333336</v>
      </c>
      <c r="AJ43" s="24">
        <f t="shared" si="6"/>
        <v>8.9814814814814826E-3</v>
      </c>
    </row>
    <row r="44" spans="1:36" x14ac:dyDescent="0.25">
      <c r="A44" s="1">
        <v>41</v>
      </c>
      <c r="B44" s="1" t="s">
        <v>11</v>
      </c>
      <c r="C44" s="1" t="s">
        <v>253</v>
      </c>
      <c r="D44" s="1" t="s">
        <v>233</v>
      </c>
      <c r="E44" s="23" t="s">
        <v>123</v>
      </c>
      <c r="F44" s="124" t="s">
        <v>45</v>
      </c>
      <c r="G44" s="9" t="str">
        <f>VLOOKUP(D44,'Asignacion Maquina'!$E$2:$F$76,2,0)</f>
        <v>Torno 6</v>
      </c>
      <c r="H44" s="73" t="s">
        <v>270</v>
      </c>
      <c r="I44" s="76">
        <v>0</v>
      </c>
      <c r="J44" s="111">
        <v>4575.8461538461543</v>
      </c>
      <c r="K44" s="84">
        <v>1</v>
      </c>
      <c r="L44" s="73" t="s">
        <v>271</v>
      </c>
      <c r="M44" s="76">
        <v>0</v>
      </c>
      <c r="N44" s="79">
        <v>149</v>
      </c>
      <c r="O44" s="73" t="s">
        <v>271</v>
      </c>
      <c r="P44" s="78">
        <v>0</v>
      </c>
      <c r="Q44" s="1">
        <v>17</v>
      </c>
      <c r="R44" s="1">
        <v>0</v>
      </c>
      <c r="S44" s="1">
        <v>15</v>
      </c>
      <c r="T44" s="1">
        <v>0</v>
      </c>
      <c r="U44" s="79">
        <v>16</v>
      </c>
      <c r="V44" s="78">
        <v>0</v>
      </c>
      <c r="W44" s="79">
        <v>0</v>
      </c>
      <c r="X44" s="78">
        <v>1</v>
      </c>
      <c r="Y44" s="1">
        <v>0</v>
      </c>
      <c r="Z44" s="1">
        <v>1</v>
      </c>
      <c r="AA44" s="1">
        <v>5</v>
      </c>
      <c r="AB44" s="1">
        <v>0</v>
      </c>
      <c r="AC44" s="79">
        <v>58</v>
      </c>
      <c r="AD44" s="95" t="s">
        <v>124</v>
      </c>
      <c r="AE44" s="24">
        <f t="shared" si="7"/>
        <v>4575.8461538461543</v>
      </c>
      <c r="AF44" s="114">
        <f t="shared" si="8"/>
        <v>1.2710683760683761</v>
      </c>
      <c r="AG44" s="24">
        <f t="shared" si="9"/>
        <v>149</v>
      </c>
      <c r="AH44" s="24">
        <f t="shared" si="10"/>
        <v>4.1388888888888892E-2</v>
      </c>
      <c r="AI44" s="24">
        <f t="shared" si="11"/>
        <v>37.333333333333336</v>
      </c>
      <c r="AJ44" s="24">
        <f t="shared" si="6"/>
        <v>1.0370370370370372E-2</v>
      </c>
    </row>
    <row r="45" spans="1:36" x14ac:dyDescent="0.25">
      <c r="A45" s="1">
        <v>42</v>
      </c>
      <c r="B45" s="1" t="s">
        <v>11</v>
      </c>
      <c r="C45" s="1" t="s">
        <v>253</v>
      </c>
      <c r="D45" s="1" t="s">
        <v>173</v>
      </c>
      <c r="E45" s="23" t="s">
        <v>125</v>
      </c>
      <c r="F45" s="124" t="s">
        <v>45</v>
      </c>
      <c r="G45" s="9" t="str">
        <f>VLOOKUP(D45,'Asignacion Maquina'!$E$2:$F$76,2,0)</f>
        <v>Torno 5</v>
      </c>
      <c r="H45" s="73" t="s">
        <v>270</v>
      </c>
      <c r="I45" s="76">
        <v>0</v>
      </c>
      <c r="J45" s="111">
        <v>4575.8461538461543</v>
      </c>
      <c r="K45" s="84">
        <v>1</v>
      </c>
      <c r="L45" s="73" t="s">
        <v>271</v>
      </c>
      <c r="M45" s="76">
        <v>0</v>
      </c>
      <c r="N45" s="79">
        <v>156</v>
      </c>
      <c r="O45" s="73" t="s">
        <v>271</v>
      </c>
      <c r="P45" s="78">
        <v>0</v>
      </c>
      <c r="Q45" s="1">
        <v>34</v>
      </c>
      <c r="R45" s="1">
        <v>0</v>
      </c>
      <c r="S45" s="1">
        <v>32</v>
      </c>
      <c r="T45" s="1">
        <v>0</v>
      </c>
      <c r="U45" s="79">
        <v>38</v>
      </c>
      <c r="V45" s="78">
        <v>0</v>
      </c>
      <c r="W45" s="79">
        <v>0</v>
      </c>
      <c r="X45" s="78">
        <v>0</v>
      </c>
      <c r="Y45" s="1">
        <v>25</v>
      </c>
      <c r="Z45" s="1">
        <v>0</v>
      </c>
      <c r="AA45" s="1">
        <v>28</v>
      </c>
      <c r="AB45" s="1">
        <v>0</v>
      </c>
      <c r="AC45" s="79">
        <v>29</v>
      </c>
      <c r="AD45" s="95" t="s">
        <v>126</v>
      </c>
      <c r="AE45" s="24">
        <f t="shared" si="7"/>
        <v>4575.8461538461543</v>
      </c>
      <c r="AF45" s="114">
        <f t="shared" si="8"/>
        <v>1.2710683760683761</v>
      </c>
      <c r="AG45" s="24">
        <f t="shared" si="9"/>
        <v>156</v>
      </c>
      <c r="AH45" s="24">
        <f t="shared" si="10"/>
        <v>4.3333333333333335E-2</v>
      </c>
      <c r="AI45" s="24">
        <f t="shared" si="11"/>
        <v>78.666666666666671</v>
      </c>
      <c r="AJ45" s="24">
        <f t="shared" si="6"/>
        <v>2.1851851851851851E-2</v>
      </c>
    </row>
    <row r="46" spans="1:36" x14ac:dyDescent="0.25">
      <c r="A46" s="1">
        <v>43</v>
      </c>
      <c r="B46" s="1" t="s">
        <v>11</v>
      </c>
      <c r="C46" s="1" t="s">
        <v>253</v>
      </c>
      <c r="D46" s="1" t="s">
        <v>171</v>
      </c>
      <c r="E46" s="9" t="s">
        <v>50</v>
      </c>
      <c r="F46" s="124" t="s">
        <v>43</v>
      </c>
      <c r="G46" s="9" t="str">
        <f>VLOOKUP(D46,'Asignacion Maquina'!$E$2:$F$76,2,0)</f>
        <v>Torno 3</v>
      </c>
      <c r="H46" s="73" t="s">
        <v>270</v>
      </c>
      <c r="I46" s="78">
        <v>0</v>
      </c>
      <c r="J46" s="111">
        <v>4575.8461538461543</v>
      </c>
      <c r="K46" s="84">
        <v>1</v>
      </c>
      <c r="L46" s="73" t="s">
        <v>271</v>
      </c>
      <c r="M46" s="76">
        <v>0</v>
      </c>
      <c r="N46" s="77">
        <v>51</v>
      </c>
      <c r="O46" s="73" t="s">
        <v>271</v>
      </c>
      <c r="P46" s="76">
        <v>0</v>
      </c>
      <c r="Q46" s="2">
        <v>7</v>
      </c>
      <c r="R46" s="2">
        <v>0</v>
      </c>
      <c r="S46" s="2">
        <v>8</v>
      </c>
      <c r="T46" s="2">
        <v>0</v>
      </c>
      <c r="U46" s="77">
        <v>7</v>
      </c>
      <c r="V46" s="78">
        <v>0</v>
      </c>
      <c r="W46" s="79">
        <v>0</v>
      </c>
      <c r="X46" s="78">
        <v>0</v>
      </c>
      <c r="Y46" s="1">
        <v>38</v>
      </c>
      <c r="Z46" s="1">
        <v>0</v>
      </c>
      <c r="AA46" s="1">
        <v>44</v>
      </c>
      <c r="AB46" s="1">
        <v>0</v>
      </c>
      <c r="AC46" s="79">
        <v>46</v>
      </c>
      <c r="AD46" s="95"/>
      <c r="AE46" s="24">
        <f t="shared" si="7"/>
        <v>4575.8461538461543</v>
      </c>
      <c r="AF46" s="114">
        <f t="shared" si="8"/>
        <v>1.2710683760683761</v>
      </c>
      <c r="AG46" s="24">
        <f t="shared" si="9"/>
        <v>51</v>
      </c>
      <c r="AH46" s="24">
        <f t="shared" si="10"/>
        <v>1.4166666666666666E-2</v>
      </c>
      <c r="AI46" s="24">
        <f t="shared" si="11"/>
        <v>17.333333333333332</v>
      </c>
      <c r="AJ46" s="24">
        <f t="shared" si="6"/>
        <v>4.8148148148148143E-3</v>
      </c>
    </row>
    <row r="47" spans="1:36" x14ac:dyDescent="0.25">
      <c r="A47" s="1">
        <v>44</v>
      </c>
      <c r="B47" s="1" t="s">
        <v>11</v>
      </c>
      <c r="C47" s="1" t="s">
        <v>253</v>
      </c>
      <c r="D47" s="1" t="s">
        <v>169</v>
      </c>
      <c r="E47" s="9" t="s">
        <v>51</v>
      </c>
      <c r="F47" s="124" t="s">
        <v>52</v>
      </c>
      <c r="G47" s="9" t="str">
        <f>VLOOKUP(D47,'Asignacion Maquina'!$E$2:$F$76,2,0)</f>
        <v>Torno 2</v>
      </c>
      <c r="H47" s="73" t="s">
        <v>270</v>
      </c>
      <c r="I47" s="78">
        <v>0</v>
      </c>
      <c r="J47" s="111">
        <v>4575.8461538461543</v>
      </c>
      <c r="K47" s="84">
        <v>1</v>
      </c>
      <c r="L47" s="73" t="s">
        <v>271</v>
      </c>
      <c r="M47" s="76">
        <v>0</v>
      </c>
      <c r="N47" s="79">
        <v>166</v>
      </c>
      <c r="O47" s="73" t="s">
        <v>271</v>
      </c>
      <c r="P47" s="78">
        <v>0</v>
      </c>
      <c r="Q47" s="1">
        <v>12</v>
      </c>
      <c r="R47" s="1">
        <v>0</v>
      </c>
      <c r="S47" s="1">
        <v>9</v>
      </c>
      <c r="T47" s="1">
        <v>0</v>
      </c>
      <c r="U47" s="79">
        <v>10</v>
      </c>
      <c r="V47" s="78">
        <v>0</v>
      </c>
      <c r="W47" s="79">
        <v>0</v>
      </c>
      <c r="X47" s="78">
        <v>0</v>
      </c>
      <c r="Y47" s="1">
        <v>21</v>
      </c>
      <c r="Z47" s="1">
        <v>0</v>
      </c>
      <c r="AA47" s="1">
        <v>17</v>
      </c>
      <c r="AB47" s="1">
        <v>0</v>
      </c>
      <c r="AC47" s="79">
        <v>19</v>
      </c>
      <c r="AD47" s="95"/>
      <c r="AE47" s="24">
        <f t="shared" si="7"/>
        <v>4575.8461538461543</v>
      </c>
      <c r="AF47" s="114">
        <f t="shared" si="8"/>
        <v>1.2710683760683761</v>
      </c>
      <c r="AG47" s="24">
        <f t="shared" si="9"/>
        <v>166</v>
      </c>
      <c r="AH47" s="24">
        <f t="shared" si="10"/>
        <v>4.611111111111111E-2</v>
      </c>
      <c r="AI47" s="24">
        <f t="shared" si="11"/>
        <v>24.333333333333332</v>
      </c>
      <c r="AJ47" s="24">
        <f t="shared" si="6"/>
        <v>6.7592592592592591E-3</v>
      </c>
    </row>
    <row r="48" spans="1:36" x14ac:dyDescent="0.25">
      <c r="A48" s="1">
        <v>45</v>
      </c>
      <c r="B48" s="1" t="s">
        <v>11</v>
      </c>
      <c r="C48" s="1" t="s">
        <v>253</v>
      </c>
      <c r="D48" s="1" t="s">
        <v>194</v>
      </c>
      <c r="E48" s="9" t="s">
        <v>54</v>
      </c>
      <c r="F48" s="124" t="s">
        <v>55</v>
      </c>
      <c r="G48" s="9" t="str">
        <f>VLOOKUP(D48,'Asignacion Maquina'!$E$2:$F$76,2,0)</f>
        <v>Torno 5</v>
      </c>
      <c r="H48" s="73" t="s">
        <v>270</v>
      </c>
      <c r="I48" s="78">
        <v>0</v>
      </c>
      <c r="J48" s="111">
        <v>4575.8461538461543</v>
      </c>
      <c r="K48" s="84">
        <v>1</v>
      </c>
      <c r="L48" s="73" t="s">
        <v>271</v>
      </c>
      <c r="M48" s="76">
        <v>0</v>
      </c>
      <c r="N48" s="77">
        <v>45</v>
      </c>
      <c r="O48" s="73" t="s">
        <v>271</v>
      </c>
      <c r="P48" s="76">
        <v>0</v>
      </c>
      <c r="Q48" s="2">
        <v>6</v>
      </c>
      <c r="R48" s="2">
        <v>0</v>
      </c>
      <c r="S48" s="2">
        <v>7</v>
      </c>
      <c r="T48" s="2">
        <v>0</v>
      </c>
      <c r="U48" s="77">
        <v>6</v>
      </c>
      <c r="V48" s="78">
        <v>0</v>
      </c>
      <c r="W48" s="79">
        <v>0</v>
      </c>
      <c r="X48" s="78">
        <v>0</v>
      </c>
      <c r="Y48" s="1">
        <v>23</v>
      </c>
      <c r="Z48" s="1">
        <v>0</v>
      </c>
      <c r="AA48" s="1">
        <v>22</v>
      </c>
      <c r="AB48" s="1">
        <v>0</v>
      </c>
      <c r="AC48" s="79">
        <v>22</v>
      </c>
      <c r="AD48" s="95"/>
      <c r="AE48" s="24">
        <f t="shared" si="7"/>
        <v>4575.8461538461543</v>
      </c>
      <c r="AF48" s="114">
        <f t="shared" si="8"/>
        <v>1.2710683760683761</v>
      </c>
      <c r="AG48" s="24">
        <f t="shared" si="9"/>
        <v>45</v>
      </c>
      <c r="AH48" s="24">
        <f t="shared" si="10"/>
        <v>1.2500000000000001E-2</v>
      </c>
      <c r="AI48" s="24">
        <f t="shared" si="11"/>
        <v>15</v>
      </c>
      <c r="AJ48" s="24">
        <f t="shared" si="6"/>
        <v>4.1666666666666666E-3</v>
      </c>
    </row>
    <row r="49" spans="1:36" x14ac:dyDescent="0.25">
      <c r="A49" s="1">
        <v>46</v>
      </c>
      <c r="B49" s="1" t="s">
        <v>11</v>
      </c>
      <c r="C49" s="1" t="s">
        <v>253</v>
      </c>
      <c r="D49" s="1" t="s">
        <v>219</v>
      </c>
      <c r="E49" s="9" t="s">
        <v>56</v>
      </c>
      <c r="F49" s="124" t="s">
        <v>57</v>
      </c>
      <c r="G49" s="9" t="str">
        <f>VLOOKUP(D49,'Asignacion Maquina'!$E$2:$F$76,2,0)</f>
        <v>Torno 1</v>
      </c>
      <c r="H49" s="73" t="s">
        <v>270</v>
      </c>
      <c r="I49" s="78">
        <v>0</v>
      </c>
      <c r="J49" s="111">
        <v>4575.8461538461543</v>
      </c>
      <c r="K49" s="84">
        <v>1</v>
      </c>
      <c r="L49" s="73" t="s">
        <v>271</v>
      </c>
      <c r="M49" s="76">
        <v>0</v>
      </c>
      <c r="N49" s="77">
        <v>322</v>
      </c>
      <c r="O49" s="73" t="s">
        <v>271</v>
      </c>
      <c r="P49" s="76">
        <v>0</v>
      </c>
      <c r="Q49" s="2">
        <v>47</v>
      </c>
      <c r="R49" s="2">
        <v>0</v>
      </c>
      <c r="S49" s="2">
        <v>53</v>
      </c>
      <c r="T49" s="2">
        <v>0</v>
      </c>
      <c r="U49" s="77">
        <v>51</v>
      </c>
      <c r="V49" s="78">
        <v>0</v>
      </c>
      <c r="W49" s="79">
        <v>0</v>
      </c>
      <c r="X49" s="78">
        <v>0</v>
      </c>
      <c r="Y49" s="1">
        <v>49</v>
      </c>
      <c r="Z49" s="1">
        <v>0</v>
      </c>
      <c r="AA49" s="1">
        <v>42</v>
      </c>
      <c r="AB49" s="1">
        <v>0</v>
      </c>
      <c r="AC49" s="79">
        <v>48</v>
      </c>
      <c r="AD49" s="95"/>
      <c r="AE49" s="24">
        <f t="shared" si="7"/>
        <v>4575.8461538461543</v>
      </c>
      <c r="AF49" s="114">
        <f t="shared" si="8"/>
        <v>1.2710683760683761</v>
      </c>
      <c r="AG49" s="24">
        <f t="shared" si="9"/>
        <v>322</v>
      </c>
      <c r="AH49" s="24">
        <f t="shared" si="10"/>
        <v>8.9444444444444438E-2</v>
      </c>
      <c r="AI49" s="24">
        <f t="shared" si="11"/>
        <v>117</v>
      </c>
      <c r="AJ49" s="24">
        <f t="shared" si="6"/>
        <v>3.2500000000000001E-2</v>
      </c>
    </row>
    <row r="50" spans="1:36" x14ac:dyDescent="0.25">
      <c r="A50" s="1">
        <v>47</v>
      </c>
      <c r="B50" s="1" t="s">
        <v>11</v>
      </c>
      <c r="C50" s="1" t="s">
        <v>253</v>
      </c>
      <c r="D50" s="1" t="s">
        <v>168</v>
      </c>
      <c r="E50" s="9" t="s">
        <v>58</v>
      </c>
      <c r="F50" s="124" t="s">
        <v>59</v>
      </c>
      <c r="G50" s="9" t="str">
        <f>VLOOKUP(D50,'Asignacion Maquina'!$E$2:$F$76,2,0)</f>
        <v>Torno 3</v>
      </c>
      <c r="H50" s="73" t="s">
        <v>270</v>
      </c>
      <c r="I50" s="78">
        <v>0</v>
      </c>
      <c r="J50" s="111">
        <v>4575.8461538461543</v>
      </c>
      <c r="K50" s="84">
        <v>1</v>
      </c>
      <c r="L50" s="73" t="s">
        <v>271</v>
      </c>
      <c r="M50" s="76">
        <v>0</v>
      </c>
      <c r="N50" s="79">
        <v>50</v>
      </c>
      <c r="O50" s="73" t="s">
        <v>271</v>
      </c>
      <c r="P50" s="78">
        <v>0</v>
      </c>
      <c r="Q50" s="1">
        <v>8</v>
      </c>
      <c r="R50" s="1">
        <v>0</v>
      </c>
      <c r="S50" s="1">
        <v>11</v>
      </c>
      <c r="T50" s="1">
        <v>0</v>
      </c>
      <c r="U50" s="79">
        <v>9</v>
      </c>
      <c r="V50" s="78">
        <v>0</v>
      </c>
      <c r="W50" s="79">
        <v>0</v>
      </c>
      <c r="X50" s="78">
        <v>0</v>
      </c>
      <c r="Y50" s="1">
        <v>22</v>
      </c>
      <c r="Z50" s="1">
        <v>0</v>
      </c>
      <c r="AA50" s="1">
        <v>18</v>
      </c>
      <c r="AB50" s="1">
        <v>0</v>
      </c>
      <c r="AC50" s="79">
        <v>19</v>
      </c>
      <c r="AD50" s="95"/>
      <c r="AE50" s="24">
        <f t="shared" si="7"/>
        <v>4575.8461538461543</v>
      </c>
      <c r="AF50" s="114">
        <f t="shared" si="8"/>
        <v>1.2710683760683761</v>
      </c>
      <c r="AG50" s="24">
        <f t="shared" si="9"/>
        <v>50</v>
      </c>
      <c r="AH50" s="24">
        <f t="shared" si="10"/>
        <v>1.3888888888888888E-2</v>
      </c>
      <c r="AI50" s="24">
        <f t="shared" si="11"/>
        <v>22</v>
      </c>
      <c r="AJ50" s="24">
        <f t="shared" si="6"/>
        <v>6.1111111111111114E-3</v>
      </c>
    </row>
    <row r="51" spans="1:36" x14ac:dyDescent="0.25">
      <c r="A51" s="1">
        <v>48</v>
      </c>
      <c r="B51" s="1" t="s">
        <v>11</v>
      </c>
      <c r="C51" s="1" t="s">
        <v>253</v>
      </c>
      <c r="D51" s="1" t="s">
        <v>192</v>
      </c>
      <c r="E51" s="23" t="s">
        <v>129</v>
      </c>
      <c r="F51" s="124" t="s">
        <v>45</v>
      </c>
      <c r="G51" s="9" t="str">
        <f>VLOOKUP(D51,'Asignacion Maquina'!$E$2:$F$76,2,0)</f>
        <v>Torno 1</v>
      </c>
      <c r="H51" s="73" t="s">
        <v>270</v>
      </c>
      <c r="I51" s="76">
        <v>0</v>
      </c>
      <c r="J51" s="111">
        <v>4575.8461538461543</v>
      </c>
      <c r="K51" s="84">
        <v>1</v>
      </c>
      <c r="L51" s="73" t="s">
        <v>271</v>
      </c>
      <c r="M51" s="76">
        <v>0</v>
      </c>
      <c r="N51" s="79">
        <v>65</v>
      </c>
      <c r="O51" s="73" t="s">
        <v>271</v>
      </c>
      <c r="P51" s="78">
        <v>0</v>
      </c>
      <c r="Q51" s="1">
        <v>12</v>
      </c>
      <c r="R51" s="1">
        <v>0</v>
      </c>
      <c r="S51" s="1">
        <v>18</v>
      </c>
      <c r="T51" s="1">
        <v>0</v>
      </c>
      <c r="U51" s="79">
        <v>15</v>
      </c>
      <c r="V51" s="78">
        <v>0</v>
      </c>
      <c r="W51" s="79">
        <v>0</v>
      </c>
      <c r="X51" s="78">
        <v>0</v>
      </c>
      <c r="Y51" s="1">
        <v>21</v>
      </c>
      <c r="Z51" s="1">
        <v>0</v>
      </c>
      <c r="AA51" s="1">
        <v>22</v>
      </c>
      <c r="AB51" s="1">
        <v>0</v>
      </c>
      <c r="AC51" s="79">
        <v>20</v>
      </c>
      <c r="AD51" s="95" t="s">
        <v>126</v>
      </c>
      <c r="AE51" s="24">
        <f t="shared" si="7"/>
        <v>4575.8461538461543</v>
      </c>
      <c r="AF51" s="114">
        <f t="shared" si="8"/>
        <v>1.2710683760683761</v>
      </c>
      <c r="AG51" s="24">
        <f t="shared" si="9"/>
        <v>65</v>
      </c>
      <c r="AH51" s="24">
        <f t="shared" si="10"/>
        <v>1.8055555555555554E-2</v>
      </c>
      <c r="AI51" s="24">
        <f t="shared" si="11"/>
        <v>35</v>
      </c>
      <c r="AJ51" s="24">
        <f t="shared" si="6"/>
        <v>9.7222222222222224E-3</v>
      </c>
    </row>
    <row r="52" spans="1:36" x14ac:dyDescent="0.25">
      <c r="A52" s="1">
        <v>49</v>
      </c>
      <c r="B52" s="1" t="s">
        <v>11</v>
      </c>
      <c r="C52" s="1" t="s">
        <v>253</v>
      </c>
      <c r="D52" s="1" t="s">
        <v>195</v>
      </c>
      <c r="E52" s="9" t="s">
        <v>70</v>
      </c>
      <c r="F52" s="124" t="s">
        <v>71</v>
      </c>
      <c r="G52" s="9" t="str">
        <f>VLOOKUP(D52,'Asignacion Maquina'!$E$2:$F$76,2,0)</f>
        <v>Torno 1</v>
      </c>
      <c r="H52" s="73" t="s">
        <v>270</v>
      </c>
      <c r="I52" s="78">
        <v>0</v>
      </c>
      <c r="J52" s="111">
        <v>4575.8461538461543</v>
      </c>
      <c r="K52" s="84">
        <v>1</v>
      </c>
      <c r="L52" s="73" t="s">
        <v>271</v>
      </c>
      <c r="M52" s="76">
        <v>0</v>
      </c>
      <c r="N52" s="79">
        <v>80</v>
      </c>
      <c r="O52" s="73" t="s">
        <v>270</v>
      </c>
      <c r="P52" s="78">
        <v>0</v>
      </c>
      <c r="Q52" s="1">
        <v>0</v>
      </c>
      <c r="R52" s="1">
        <v>0</v>
      </c>
      <c r="S52" s="1">
        <v>0</v>
      </c>
      <c r="T52" s="1">
        <v>0</v>
      </c>
      <c r="U52" s="77">
        <v>205.41095890410961</v>
      </c>
      <c r="V52" s="78">
        <v>0</v>
      </c>
      <c r="W52" s="79">
        <v>0</v>
      </c>
      <c r="X52" s="78">
        <v>0</v>
      </c>
      <c r="Y52" s="1">
        <v>48</v>
      </c>
      <c r="Z52" s="1">
        <v>0</v>
      </c>
      <c r="AA52" s="1">
        <v>47</v>
      </c>
      <c r="AB52" s="1">
        <v>0</v>
      </c>
      <c r="AC52" s="79">
        <v>45</v>
      </c>
      <c r="AD52" s="95"/>
      <c r="AE52" s="24">
        <f t="shared" si="7"/>
        <v>4575.8461538461543</v>
      </c>
      <c r="AF52" s="114">
        <f t="shared" si="8"/>
        <v>1.2710683760683761</v>
      </c>
      <c r="AG52" s="24">
        <f t="shared" si="9"/>
        <v>80</v>
      </c>
      <c r="AH52" s="24">
        <f t="shared" si="10"/>
        <v>2.2222222222222223E-2</v>
      </c>
      <c r="AI52" s="24">
        <f t="shared" si="11"/>
        <v>68.470319634703202</v>
      </c>
      <c r="AJ52" s="114">
        <f t="shared" si="6"/>
        <v>1.9019533231862E-2</v>
      </c>
    </row>
    <row r="53" spans="1:36" x14ac:dyDescent="0.25">
      <c r="A53" s="1">
        <v>50</v>
      </c>
      <c r="B53" s="1" t="s">
        <v>11</v>
      </c>
      <c r="C53" s="1" t="s">
        <v>253</v>
      </c>
      <c r="D53" s="1" t="s">
        <v>204</v>
      </c>
      <c r="E53" s="9" t="s">
        <v>72</v>
      </c>
      <c r="F53" s="124" t="s">
        <v>73</v>
      </c>
      <c r="G53" s="9" t="str">
        <f>VLOOKUP(D53,'Asignacion Maquina'!$E$2:$F$76,2,0)</f>
        <v>Torno 4</v>
      </c>
      <c r="H53" s="73" t="s">
        <v>270</v>
      </c>
      <c r="I53" s="78">
        <v>0</v>
      </c>
      <c r="J53" s="111">
        <v>4575.8461538461543</v>
      </c>
      <c r="K53" s="84">
        <v>1</v>
      </c>
      <c r="L53" s="73" t="s">
        <v>271</v>
      </c>
      <c r="M53" s="76">
        <v>0</v>
      </c>
      <c r="N53" s="79">
        <v>173</v>
      </c>
      <c r="O53" s="73" t="s">
        <v>271</v>
      </c>
      <c r="P53" s="78">
        <v>0</v>
      </c>
      <c r="Q53" s="1">
        <v>15</v>
      </c>
      <c r="R53" s="1">
        <v>0</v>
      </c>
      <c r="S53" s="1">
        <v>18</v>
      </c>
      <c r="T53" s="1">
        <v>0</v>
      </c>
      <c r="U53" s="79">
        <v>25</v>
      </c>
      <c r="V53" s="78">
        <v>0</v>
      </c>
      <c r="W53" s="79">
        <v>0</v>
      </c>
      <c r="X53" s="78">
        <v>0</v>
      </c>
      <c r="Y53" s="1">
        <v>35</v>
      </c>
      <c r="Z53" s="1">
        <v>0</v>
      </c>
      <c r="AA53" s="1">
        <v>38</v>
      </c>
      <c r="AB53" s="1">
        <v>0</v>
      </c>
      <c r="AC53" s="79">
        <v>42</v>
      </c>
      <c r="AD53" s="95"/>
      <c r="AE53" s="24">
        <f t="shared" si="7"/>
        <v>4575.8461538461543</v>
      </c>
      <c r="AF53" s="114">
        <f t="shared" si="8"/>
        <v>1.2710683760683761</v>
      </c>
      <c r="AG53" s="24">
        <f t="shared" si="9"/>
        <v>173</v>
      </c>
      <c r="AH53" s="24">
        <f t="shared" si="10"/>
        <v>4.8055555555555553E-2</v>
      </c>
      <c r="AI53" s="24">
        <f t="shared" si="11"/>
        <v>41.333333333333336</v>
      </c>
      <c r="AJ53" s="24">
        <f t="shared" si="6"/>
        <v>1.1481481481481481E-2</v>
      </c>
    </row>
    <row r="54" spans="1:36" x14ac:dyDescent="0.25">
      <c r="A54" s="1">
        <v>51</v>
      </c>
      <c r="B54" s="1" t="s">
        <v>11</v>
      </c>
      <c r="C54" s="1" t="s">
        <v>253</v>
      </c>
      <c r="D54" s="1" t="s">
        <v>234</v>
      </c>
      <c r="E54" s="9" t="s">
        <v>74</v>
      </c>
      <c r="F54" s="124" t="s">
        <v>75</v>
      </c>
      <c r="G54" s="9" t="str">
        <f>VLOOKUP(D54,'Asignacion Maquina'!$E$2:$F$76,2,0)</f>
        <v>Torno 5</v>
      </c>
      <c r="H54" s="73" t="s">
        <v>270</v>
      </c>
      <c r="I54" s="76">
        <v>0</v>
      </c>
      <c r="J54" s="111">
        <v>4575.8461538461543</v>
      </c>
      <c r="K54" s="84">
        <v>1</v>
      </c>
      <c r="L54" s="73" t="s">
        <v>271</v>
      </c>
      <c r="M54" s="76">
        <v>0</v>
      </c>
      <c r="N54" s="77">
        <v>377</v>
      </c>
      <c r="O54" s="73" t="s">
        <v>271</v>
      </c>
      <c r="P54" s="76">
        <v>2</v>
      </c>
      <c r="Q54" s="2">
        <v>26</v>
      </c>
      <c r="R54" s="2">
        <v>2</v>
      </c>
      <c r="S54" s="2">
        <v>40</v>
      </c>
      <c r="T54" s="2">
        <v>2</v>
      </c>
      <c r="U54" s="77">
        <v>21</v>
      </c>
      <c r="V54" s="78">
        <v>0</v>
      </c>
      <c r="W54" s="79">
        <v>0</v>
      </c>
      <c r="X54" s="78">
        <v>1</v>
      </c>
      <c r="Y54" s="1">
        <v>6</v>
      </c>
      <c r="Z54" s="1">
        <v>1</v>
      </c>
      <c r="AA54" s="1">
        <v>10</v>
      </c>
      <c r="AB54" s="1">
        <v>1</v>
      </c>
      <c r="AC54" s="79">
        <v>18</v>
      </c>
      <c r="AD54" s="95"/>
      <c r="AE54" s="24">
        <f t="shared" si="7"/>
        <v>4575.8461538461543</v>
      </c>
      <c r="AF54" s="114">
        <f t="shared" si="8"/>
        <v>1.2710683760683761</v>
      </c>
      <c r="AG54" s="24">
        <f t="shared" si="9"/>
        <v>377</v>
      </c>
      <c r="AH54" s="24">
        <f t="shared" si="10"/>
        <v>0.10472222222222222</v>
      </c>
      <c r="AI54" s="24">
        <f t="shared" si="11"/>
        <v>433</v>
      </c>
      <c r="AJ54" s="24">
        <f t="shared" si="6"/>
        <v>0.12027777777777778</v>
      </c>
    </row>
    <row r="55" spans="1:36" x14ac:dyDescent="0.25">
      <c r="A55" s="1">
        <v>52</v>
      </c>
      <c r="B55" s="1" t="s">
        <v>11</v>
      </c>
      <c r="C55" s="1" t="s">
        <v>253</v>
      </c>
      <c r="D55" s="1" t="s">
        <v>235</v>
      </c>
      <c r="E55" s="9" t="s">
        <v>76</v>
      </c>
      <c r="F55" s="124" t="s">
        <v>71</v>
      </c>
      <c r="G55" s="9" t="str">
        <f>VLOOKUP(D55,'Asignacion Maquina'!$E$2:$F$76,2,0)</f>
        <v>Torno 3</v>
      </c>
      <c r="H55" s="73" t="s">
        <v>270</v>
      </c>
      <c r="I55" s="76">
        <v>0</v>
      </c>
      <c r="J55" s="111">
        <v>4575.8461538461497</v>
      </c>
      <c r="K55" s="84">
        <v>1</v>
      </c>
      <c r="L55" s="73" t="s">
        <v>271</v>
      </c>
      <c r="M55" s="76">
        <v>0</v>
      </c>
      <c r="N55" s="77">
        <v>18</v>
      </c>
      <c r="O55" s="73" t="s">
        <v>270</v>
      </c>
      <c r="P55" s="76">
        <v>0</v>
      </c>
      <c r="Q55" s="2">
        <v>0</v>
      </c>
      <c r="R55" s="2">
        <v>0</v>
      </c>
      <c r="S55" s="2">
        <v>0</v>
      </c>
      <c r="T55" s="2">
        <v>0</v>
      </c>
      <c r="U55" s="77">
        <v>205.41095890410961</v>
      </c>
      <c r="V55" s="78">
        <v>0</v>
      </c>
      <c r="W55" s="79">
        <v>0</v>
      </c>
      <c r="X55" s="78">
        <v>0</v>
      </c>
      <c r="Y55" s="1">
        <v>15</v>
      </c>
      <c r="Z55" s="1">
        <v>0</v>
      </c>
      <c r="AA55" s="1">
        <v>17</v>
      </c>
      <c r="AB55" s="1">
        <v>0</v>
      </c>
      <c r="AC55" s="79">
        <v>16</v>
      </c>
      <c r="AD55" s="95"/>
      <c r="AE55" s="24">
        <f t="shared" si="7"/>
        <v>4575.8461538461497</v>
      </c>
      <c r="AF55" s="114">
        <f t="shared" si="8"/>
        <v>1.271068376068375</v>
      </c>
      <c r="AG55" s="24">
        <f t="shared" si="9"/>
        <v>18</v>
      </c>
      <c r="AH55" s="24">
        <f t="shared" si="10"/>
        <v>5.0000000000000001E-3</v>
      </c>
      <c r="AI55" s="24">
        <f t="shared" si="11"/>
        <v>68.470319634703202</v>
      </c>
      <c r="AJ55" s="114">
        <f t="shared" si="6"/>
        <v>1.9019533231862E-2</v>
      </c>
    </row>
    <row r="56" spans="1:36" x14ac:dyDescent="0.25">
      <c r="A56" s="1">
        <v>53</v>
      </c>
      <c r="B56" s="1" t="s">
        <v>11</v>
      </c>
      <c r="C56" s="1" t="s">
        <v>253</v>
      </c>
      <c r="D56" s="1" t="s">
        <v>196</v>
      </c>
      <c r="E56" s="9" t="s">
        <v>77</v>
      </c>
      <c r="F56" s="124" t="s">
        <v>78</v>
      </c>
      <c r="G56" s="9" t="str">
        <f>VLOOKUP(D56,'Asignacion Maquina'!$E$2:$F$76,2,0)</f>
        <v>Torno 1</v>
      </c>
      <c r="H56" s="73" t="s">
        <v>271</v>
      </c>
      <c r="I56" s="78">
        <v>40</v>
      </c>
      <c r="J56" s="79">
        <v>0</v>
      </c>
      <c r="K56" s="84">
        <v>1</v>
      </c>
      <c r="L56" s="73" t="s">
        <v>271</v>
      </c>
      <c r="M56" s="76">
        <v>0</v>
      </c>
      <c r="N56" s="79">
        <v>136</v>
      </c>
      <c r="O56" s="73" t="s">
        <v>271</v>
      </c>
      <c r="P56" s="78">
        <v>0</v>
      </c>
      <c r="Q56" s="1">
        <v>39</v>
      </c>
      <c r="R56" s="1">
        <v>0</v>
      </c>
      <c r="S56" s="1">
        <v>33</v>
      </c>
      <c r="T56" s="1">
        <v>0</v>
      </c>
      <c r="U56" s="79">
        <v>31</v>
      </c>
      <c r="V56" s="78">
        <v>0</v>
      </c>
      <c r="W56" s="79">
        <v>0</v>
      </c>
      <c r="X56" s="78">
        <v>0</v>
      </c>
      <c r="Y56" s="1">
        <v>4</v>
      </c>
      <c r="Z56" s="1">
        <v>0</v>
      </c>
      <c r="AA56" s="1">
        <v>5</v>
      </c>
      <c r="AB56" s="1">
        <v>0</v>
      </c>
      <c r="AC56" s="79">
        <v>4</v>
      </c>
      <c r="AD56" s="95"/>
      <c r="AE56" s="24">
        <f t="shared" si="7"/>
        <v>2400</v>
      </c>
      <c r="AF56" s="24">
        <f t="shared" si="8"/>
        <v>0.66666666666666663</v>
      </c>
      <c r="AG56" s="24">
        <f t="shared" si="9"/>
        <v>136</v>
      </c>
      <c r="AH56" s="24">
        <f t="shared" si="10"/>
        <v>3.7777777777777778E-2</v>
      </c>
      <c r="AI56" s="24">
        <f t="shared" si="11"/>
        <v>82.333333333333329</v>
      </c>
      <c r="AJ56" s="24">
        <f t="shared" si="6"/>
        <v>2.2870370370370371E-2</v>
      </c>
    </row>
    <row r="57" spans="1:36" x14ac:dyDescent="0.25">
      <c r="A57" s="1">
        <v>54</v>
      </c>
      <c r="B57" s="1" t="s">
        <v>11</v>
      </c>
      <c r="C57" s="1" t="s">
        <v>253</v>
      </c>
      <c r="D57" s="1" t="s">
        <v>181</v>
      </c>
      <c r="E57" s="9" t="s">
        <v>79</v>
      </c>
      <c r="F57" s="124" t="s">
        <v>80</v>
      </c>
      <c r="G57" s="9" t="str">
        <f>VLOOKUP(D57,'Asignacion Maquina'!$E$2:$F$76,2,0)</f>
        <v>Torno 4</v>
      </c>
      <c r="H57" s="73" t="s">
        <v>270</v>
      </c>
      <c r="I57" s="78">
        <v>0</v>
      </c>
      <c r="J57" s="111">
        <v>4575.8461538461543</v>
      </c>
      <c r="K57" s="84">
        <v>1</v>
      </c>
      <c r="L57" s="73" t="s">
        <v>271</v>
      </c>
      <c r="M57" s="76">
        <v>0</v>
      </c>
      <c r="N57" s="79">
        <v>187</v>
      </c>
      <c r="O57" s="73" t="s">
        <v>271</v>
      </c>
      <c r="P57" s="78">
        <v>0</v>
      </c>
      <c r="Q57" s="1">
        <v>11</v>
      </c>
      <c r="R57" s="1">
        <v>0</v>
      </c>
      <c r="S57" s="1">
        <v>13</v>
      </c>
      <c r="T57" s="1">
        <v>0</v>
      </c>
      <c r="U57" s="79">
        <v>11</v>
      </c>
      <c r="V57" s="78">
        <v>0</v>
      </c>
      <c r="W57" s="79">
        <v>0</v>
      </c>
      <c r="X57" s="78">
        <v>0</v>
      </c>
      <c r="Y57" s="1">
        <v>21</v>
      </c>
      <c r="Z57" s="1">
        <v>0</v>
      </c>
      <c r="AA57" s="1">
        <v>25</v>
      </c>
      <c r="AB57" s="1">
        <v>0</v>
      </c>
      <c r="AC57" s="79">
        <v>26</v>
      </c>
      <c r="AD57" s="95"/>
      <c r="AE57" s="24">
        <f t="shared" si="7"/>
        <v>4575.8461538461543</v>
      </c>
      <c r="AF57" s="114">
        <f t="shared" si="8"/>
        <v>1.2710683760683761</v>
      </c>
      <c r="AG57" s="24">
        <f t="shared" si="9"/>
        <v>187</v>
      </c>
      <c r="AH57" s="24">
        <f t="shared" si="10"/>
        <v>5.1944444444444446E-2</v>
      </c>
      <c r="AI57" s="24">
        <f t="shared" si="11"/>
        <v>27.666666666666668</v>
      </c>
      <c r="AJ57" s="24">
        <f t="shared" si="6"/>
        <v>7.6851851851851855E-3</v>
      </c>
    </row>
    <row r="58" spans="1:36" x14ac:dyDescent="0.25">
      <c r="A58" s="1">
        <v>55</v>
      </c>
      <c r="B58" s="1" t="s">
        <v>11</v>
      </c>
      <c r="C58" s="1" t="s">
        <v>253</v>
      </c>
      <c r="D58" s="1" t="s">
        <v>246</v>
      </c>
      <c r="E58" s="9" t="s">
        <v>81</v>
      </c>
      <c r="F58" s="124" t="s">
        <v>82</v>
      </c>
      <c r="G58" s="9" t="str">
        <f>VLOOKUP(D58,'Asignacion Maquina'!$E$2:$F$76,2,0)</f>
        <v>Torno 3</v>
      </c>
      <c r="H58" s="73" t="s">
        <v>270</v>
      </c>
      <c r="I58" s="76">
        <v>0</v>
      </c>
      <c r="J58" s="111">
        <v>4575.8461538461543</v>
      </c>
      <c r="K58" s="84">
        <v>1</v>
      </c>
      <c r="L58" s="73" t="s">
        <v>271</v>
      </c>
      <c r="M58" s="76">
        <v>0</v>
      </c>
      <c r="N58" s="79">
        <v>97</v>
      </c>
      <c r="O58" s="73" t="s">
        <v>271</v>
      </c>
      <c r="P58" s="76">
        <v>0</v>
      </c>
      <c r="Q58" s="2">
        <v>35</v>
      </c>
      <c r="R58" s="2">
        <v>0</v>
      </c>
      <c r="S58" s="2">
        <v>38</v>
      </c>
      <c r="T58" s="2">
        <v>0</v>
      </c>
      <c r="U58" s="77">
        <v>32</v>
      </c>
      <c r="V58" s="78">
        <v>0</v>
      </c>
      <c r="W58" s="79">
        <v>0</v>
      </c>
      <c r="X58" s="78">
        <v>0</v>
      </c>
      <c r="Y58" s="1">
        <v>45</v>
      </c>
      <c r="Z58" s="1">
        <v>0</v>
      </c>
      <c r="AA58" s="1">
        <v>41</v>
      </c>
      <c r="AB58" s="1">
        <v>0</v>
      </c>
      <c r="AC58" s="79">
        <v>39</v>
      </c>
      <c r="AD58" s="95"/>
      <c r="AE58" s="24">
        <f t="shared" si="7"/>
        <v>4575.8461538461543</v>
      </c>
      <c r="AF58" s="114">
        <f t="shared" si="8"/>
        <v>1.2710683760683761</v>
      </c>
      <c r="AG58" s="24">
        <f t="shared" si="9"/>
        <v>97</v>
      </c>
      <c r="AH58" s="24">
        <f t="shared" si="10"/>
        <v>2.6944444444444444E-2</v>
      </c>
      <c r="AI58" s="24">
        <f t="shared" si="11"/>
        <v>83.666666666666671</v>
      </c>
      <c r="AJ58" s="24">
        <f t="shared" si="6"/>
        <v>2.3240740740740742E-2</v>
      </c>
    </row>
    <row r="59" spans="1:36" x14ac:dyDescent="0.25">
      <c r="A59" s="1">
        <v>56</v>
      </c>
      <c r="B59" s="1" t="s">
        <v>11</v>
      </c>
      <c r="C59" s="1" t="s">
        <v>253</v>
      </c>
      <c r="D59" s="1" t="s">
        <v>183</v>
      </c>
      <c r="E59" s="9" t="s">
        <v>83</v>
      </c>
      <c r="F59" s="124" t="s">
        <v>84</v>
      </c>
      <c r="G59" s="9" t="str">
        <f>VLOOKUP(D59,'Asignacion Maquina'!$E$2:$F$76,2,0)</f>
        <v>Torno 4</v>
      </c>
      <c r="H59" s="73" t="s">
        <v>270</v>
      </c>
      <c r="I59" s="76">
        <v>0</v>
      </c>
      <c r="J59" s="111">
        <v>4575.8461538461543</v>
      </c>
      <c r="K59" s="84">
        <v>1</v>
      </c>
      <c r="L59" s="73" t="s">
        <v>271</v>
      </c>
      <c r="M59" s="76">
        <v>0</v>
      </c>
      <c r="N59" s="79">
        <v>162</v>
      </c>
      <c r="O59" s="73" t="s">
        <v>271</v>
      </c>
      <c r="P59" s="76">
        <v>0</v>
      </c>
      <c r="Q59" s="2">
        <v>13</v>
      </c>
      <c r="R59" s="2">
        <v>0</v>
      </c>
      <c r="S59" s="2">
        <v>15</v>
      </c>
      <c r="T59" s="2">
        <v>0</v>
      </c>
      <c r="U59" s="77">
        <v>15</v>
      </c>
      <c r="V59" s="78">
        <v>0</v>
      </c>
      <c r="W59" s="79">
        <v>0</v>
      </c>
      <c r="X59" s="78">
        <v>0</v>
      </c>
      <c r="Y59" s="1">
        <v>41</v>
      </c>
      <c r="Z59" s="1">
        <v>0</v>
      </c>
      <c r="AA59" s="1">
        <v>44</v>
      </c>
      <c r="AB59" s="1">
        <v>0</v>
      </c>
      <c r="AC59" s="79">
        <v>39</v>
      </c>
      <c r="AD59" s="95"/>
      <c r="AE59" s="24">
        <f t="shared" si="7"/>
        <v>4575.8461538461543</v>
      </c>
      <c r="AF59" s="114">
        <f t="shared" si="8"/>
        <v>1.2710683760683761</v>
      </c>
      <c r="AG59" s="24">
        <f t="shared" si="9"/>
        <v>162</v>
      </c>
      <c r="AH59" s="24">
        <f t="shared" si="10"/>
        <v>4.4999999999999998E-2</v>
      </c>
      <c r="AI59" s="24">
        <f t="shared" si="11"/>
        <v>33</v>
      </c>
      <c r="AJ59" s="24">
        <f t="shared" si="6"/>
        <v>9.1666666666666667E-3</v>
      </c>
    </row>
    <row r="60" spans="1:36" x14ac:dyDescent="0.25">
      <c r="A60" s="1">
        <v>57</v>
      </c>
      <c r="B60" s="1" t="s">
        <v>11</v>
      </c>
      <c r="C60" s="1" t="s">
        <v>253</v>
      </c>
      <c r="D60" s="1" t="s">
        <v>205</v>
      </c>
      <c r="E60" s="9" t="s">
        <v>89</v>
      </c>
      <c r="F60" s="124" t="s">
        <v>43</v>
      </c>
      <c r="G60" s="9" t="str">
        <f>VLOOKUP(D60,'Asignacion Maquina'!$E$2:$F$76,2,0)</f>
        <v>Torno 3</v>
      </c>
      <c r="H60" s="73" t="s">
        <v>270</v>
      </c>
      <c r="I60" s="76">
        <v>0</v>
      </c>
      <c r="J60" s="111">
        <v>4575.8461538461543</v>
      </c>
      <c r="K60" s="84">
        <v>1</v>
      </c>
      <c r="L60" s="73" t="s">
        <v>271</v>
      </c>
      <c r="M60" s="76">
        <v>0</v>
      </c>
      <c r="N60" s="79">
        <v>52</v>
      </c>
      <c r="O60" s="73" t="s">
        <v>271</v>
      </c>
      <c r="P60" s="76">
        <v>0</v>
      </c>
      <c r="Q60" s="2">
        <v>8</v>
      </c>
      <c r="R60" s="2">
        <v>0</v>
      </c>
      <c r="S60" s="2">
        <v>7</v>
      </c>
      <c r="T60" s="2">
        <v>0</v>
      </c>
      <c r="U60" s="77">
        <v>8</v>
      </c>
      <c r="V60" s="78">
        <v>0</v>
      </c>
      <c r="W60" s="79">
        <v>0</v>
      </c>
      <c r="X60" s="78">
        <v>0</v>
      </c>
      <c r="Y60" s="1">
        <v>51</v>
      </c>
      <c r="Z60" s="1">
        <v>0</v>
      </c>
      <c r="AA60" s="1">
        <v>50</v>
      </c>
      <c r="AB60" s="1">
        <v>0</v>
      </c>
      <c r="AC60" s="79">
        <v>53</v>
      </c>
      <c r="AD60" s="95"/>
      <c r="AE60" s="24">
        <f t="shared" si="7"/>
        <v>4575.8461538461543</v>
      </c>
      <c r="AF60" s="114">
        <f t="shared" si="8"/>
        <v>1.2710683760683761</v>
      </c>
      <c r="AG60" s="24">
        <f t="shared" si="9"/>
        <v>52</v>
      </c>
      <c r="AH60" s="24">
        <f t="shared" si="10"/>
        <v>1.4444444444444444E-2</v>
      </c>
      <c r="AI60" s="24">
        <f t="shared" si="11"/>
        <v>17.666666666666668</v>
      </c>
      <c r="AJ60" s="24">
        <f t="shared" si="6"/>
        <v>4.9074074074074081E-3</v>
      </c>
    </row>
    <row r="61" spans="1:36" x14ac:dyDescent="0.25">
      <c r="A61" s="1">
        <v>58</v>
      </c>
      <c r="B61" s="1" t="s">
        <v>11</v>
      </c>
      <c r="C61" s="1" t="s">
        <v>253</v>
      </c>
      <c r="D61" s="1" t="s">
        <v>180</v>
      </c>
      <c r="E61" s="9" t="s">
        <v>91</v>
      </c>
      <c r="F61" s="124" t="s">
        <v>92</v>
      </c>
      <c r="G61" s="9" t="str">
        <f>VLOOKUP(D61,'Asignacion Maquina'!$E$2:$F$76,2,0)</f>
        <v>Torno 1</v>
      </c>
      <c r="H61" s="73" t="s">
        <v>270</v>
      </c>
      <c r="I61" s="76">
        <v>0</v>
      </c>
      <c r="J61" s="111">
        <v>4575.8461538461543</v>
      </c>
      <c r="K61" s="84">
        <v>1</v>
      </c>
      <c r="L61" s="73" t="s">
        <v>271</v>
      </c>
      <c r="M61" s="76">
        <v>0</v>
      </c>
      <c r="N61" s="77">
        <v>35</v>
      </c>
      <c r="O61" s="73" t="s">
        <v>271</v>
      </c>
      <c r="P61" s="78">
        <v>0</v>
      </c>
      <c r="Q61" s="1">
        <v>23</v>
      </c>
      <c r="R61" s="1">
        <v>0</v>
      </c>
      <c r="S61" s="1">
        <v>24</v>
      </c>
      <c r="T61" s="1">
        <v>0</v>
      </c>
      <c r="U61" s="79">
        <v>22</v>
      </c>
      <c r="V61" s="78">
        <v>0</v>
      </c>
      <c r="W61" s="79">
        <v>0</v>
      </c>
      <c r="X61" s="78">
        <v>0</v>
      </c>
      <c r="Y61" s="1">
        <v>25</v>
      </c>
      <c r="Z61" s="1">
        <v>0</v>
      </c>
      <c r="AA61" s="1">
        <v>28</v>
      </c>
      <c r="AB61" s="1">
        <v>0</v>
      </c>
      <c r="AC61" s="79">
        <v>23</v>
      </c>
      <c r="AD61" s="95"/>
      <c r="AE61" s="24">
        <f t="shared" si="7"/>
        <v>4575.8461538461543</v>
      </c>
      <c r="AF61" s="114">
        <f t="shared" si="8"/>
        <v>1.2710683760683761</v>
      </c>
      <c r="AG61" s="24">
        <f t="shared" si="9"/>
        <v>35</v>
      </c>
      <c r="AH61" s="24">
        <f t="shared" si="10"/>
        <v>9.7222222222222224E-3</v>
      </c>
      <c r="AI61" s="24">
        <f t="shared" si="11"/>
        <v>54.333333333333336</v>
      </c>
      <c r="AJ61" s="24">
        <f t="shared" si="6"/>
        <v>1.5092592592592593E-2</v>
      </c>
    </row>
    <row r="62" spans="1:36" x14ac:dyDescent="0.25">
      <c r="A62" s="1">
        <v>59</v>
      </c>
      <c r="B62" s="1" t="s">
        <v>11</v>
      </c>
      <c r="C62" s="1" t="s">
        <v>253</v>
      </c>
      <c r="D62" s="1" t="s">
        <v>190</v>
      </c>
      <c r="E62" s="9" t="s">
        <v>94</v>
      </c>
      <c r="F62" s="124" t="s">
        <v>95</v>
      </c>
      <c r="G62" s="9" t="str">
        <f>VLOOKUP(D62,'Asignacion Maquina'!$E$2:$F$76,2,0)</f>
        <v>Torno 1</v>
      </c>
      <c r="H62" s="73" t="s">
        <v>270</v>
      </c>
      <c r="I62" s="76">
        <v>0</v>
      </c>
      <c r="J62" s="111">
        <v>4575.8461538461543</v>
      </c>
      <c r="K62" s="84">
        <v>1</v>
      </c>
      <c r="L62" s="73" t="s">
        <v>271</v>
      </c>
      <c r="M62" s="76">
        <v>0</v>
      </c>
      <c r="N62" s="87">
        <v>45</v>
      </c>
      <c r="O62" s="73" t="s">
        <v>271</v>
      </c>
      <c r="P62" s="76">
        <v>0</v>
      </c>
      <c r="Q62" s="2">
        <v>3</v>
      </c>
      <c r="R62" s="2">
        <v>0</v>
      </c>
      <c r="S62" s="2">
        <v>4</v>
      </c>
      <c r="T62" s="2">
        <v>0</v>
      </c>
      <c r="U62" s="77">
        <v>3</v>
      </c>
      <c r="V62" s="78">
        <v>0</v>
      </c>
      <c r="W62" s="79">
        <v>0</v>
      </c>
      <c r="X62" s="78">
        <v>0</v>
      </c>
      <c r="Y62" s="1">
        <v>19</v>
      </c>
      <c r="Z62" s="1">
        <v>0</v>
      </c>
      <c r="AA62" s="1">
        <v>20</v>
      </c>
      <c r="AB62" s="1">
        <v>0</v>
      </c>
      <c r="AC62" s="79">
        <v>18</v>
      </c>
      <c r="AD62" s="95"/>
      <c r="AE62" s="24">
        <f t="shared" si="7"/>
        <v>4575.8461538461543</v>
      </c>
      <c r="AF62" s="114">
        <f t="shared" si="8"/>
        <v>1.2710683760683761</v>
      </c>
      <c r="AG62" s="24">
        <f t="shared" si="9"/>
        <v>45</v>
      </c>
      <c r="AH62" s="24">
        <f t="shared" si="10"/>
        <v>1.2500000000000001E-2</v>
      </c>
      <c r="AI62" s="24">
        <f t="shared" si="11"/>
        <v>8</v>
      </c>
      <c r="AJ62" s="24">
        <f t="shared" si="6"/>
        <v>2.2222222222222222E-3</v>
      </c>
    </row>
    <row r="63" spans="1:36" x14ac:dyDescent="0.25">
      <c r="A63" s="1">
        <v>60</v>
      </c>
      <c r="B63" s="1" t="s">
        <v>11</v>
      </c>
      <c r="C63" s="1" t="s">
        <v>253</v>
      </c>
      <c r="D63" s="1" t="s">
        <v>200</v>
      </c>
      <c r="E63" s="23" t="s">
        <v>107</v>
      </c>
      <c r="F63" s="124" t="s">
        <v>92</v>
      </c>
      <c r="G63" s="9" t="str">
        <f>VLOOKUP(D63,'Asignacion Maquina'!$E$2:$F$76,2,0)</f>
        <v>Torno 3</v>
      </c>
      <c r="H63" s="73" t="s">
        <v>270</v>
      </c>
      <c r="I63" s="76">
        <v>0</v>
      </c>
      <c r="J63" s="111">
        <v>4575.8461538461543</v>
      </c>
      <c r="K63" s="84">
        <v>1</v>
      </c>
      <c r="L63" s="73" t="s">
        <v>271</v>
      </c>
      <c r="M63" s="76">
        <v>0</v>
      </c>
      <c r="N63" s="79">
        <v>43</v>
      </c>
      <c r="O63" s="73" t="s">
        <v>271</v>
      </c>
      <c r="P63" s="78">
        <v>0</v>
      </c>
      <c r="Q63" s="1">
        <v>7</v>
      </c>
      <c r="R63" s="1">
        <v>0</v>
      </c>
      <c r="S63" s="1">
        <v>6</v>
      </c>
      <c r="T63" s="1">
        <v>0</v>
      </c>
      <c r="U63" s="79">
        <v>8</v>
      </c>
      <c r="V63" s="78">
        <v>0</v>
      </c>
      <c r="W63" s="79">
        <v>0</v>
      </c>
      <c r="X63" s="78">
        <v>0</v>
      </c>
      <c r="Y63" s="1">
        <v>17</v>
      </c>
      <c r="Z63" s="1">
        <v>0</v>
      </c>
      <c r="AA63" s="1">
        <v>20</v>
      </c>
      <c r="AB63" s="1">
        <v>0</v>
      </c>
      <c r="AC63" s="79">
        <v>28</v>
      </c>
      <c r="AD63" s="95"/>
      <c r="AE63" s="24">
        <f t="shared" si="7"/>
        <v>4575.8461538461543</v>
      </c>
      <c r="AF63" s="114">
        <f t="shared" si="8"/>
        <v>1.2710683760683761</v>
      </c>
      <c r="AG63" s="24">
        <f t="shared" si="9"/>
        <v>43</v>
      </c>
      <c r="AH63" s="24">
        <f t="shared" si="10"/>
        <v>1.1944444444444445E-2</v>
      </c>
      <c r="AI63" s="24">
        <f t="shared" si="11"/>
        <v>15.666666666666666</v>
      </c>
      <c r="AJ63" s="24">
        <f t="shared" si="6"/>
        <v>4.3518518518518515E-3</v>
      </c>
    </row>
    <row r="64" spans="1:36" x14ac:dyDescent="0.25">
      <c r="A64" s="1">
        <v>61</v>
      </c>
      <c r="B64" s="1" t="s">
        <v>11</v>
      </c>
      <c r="C64" s="1" t="s">
        <v>253</v>
      </c>
      <c r="D64" s="1" t="s">
        <v>185</v>
      </c>
      <c r="E64" s="23" t="s">
        <v>151</v>
      </c>
      <c r="F64" s="124" t="s">
        <v>45</v>
      </c>
      <c r="G64" s="9" t="str">
        <f>VLOOKUP(D64,'Asignacion Maquina'!$E$2:$F$76,2,0)</f>
        <v>Torno 4</v>
      </c>
      <c r="H64" s="73" t="s">
        <v>270</v>
      </c>
      <c r="I64" s="76">
        <v>0</v>
      </c>
      <c r="J64" s="111">
        <v>4575.8461538461543</v>
      </c>
      <c r="K64" s="84">
        <v>1</v>
      </c>
      <c r="L64" s="73" t="s">
        <v>271</v>
      </c>
      <c r="M64" s="76">
        <v>0</v>
      </c>
      <c r="N64" s="79">
        <v>181</v>
      </c>
      <c r="O64" s="73" t="s">
        <v>271</v>
      </c>
      <c r="P64" s="78">
        <v>0</v>
      </c>
      <c r="Q64" s="1">
        <v>18</v>
      </c>
      <c r="R64" s="1">
        <v>0</v>
      </c>
      <c r="S64" s="1">
        <v>20</v>
      </c>
      <c r="T64" s="1">
        <v>0</v>
      </c>
      <c r="U64" s="79">
        <v>16</v>
      </c>
      <c r="V64" s="78">
        <v>0</v>
      </c>
      <c r="W64" s="79">
        <v>0</v>
      </c>
      <c r="X64" s="78">
        <v>0</v>
      </c>
      <c r="Y64" s="1">
        <v>22</v>
      </c>
      <c r="Z64" s="1">
        <v>0</v>
      </c>
      <c r="AA64" s="1">
        <v>20</v>
      </c>
      <c r="AB64" s="1">
        <v>0</v>
      </c>
      <c r="AC64" s="79">
        <v>17</v>
      </c>
      <c r="AD64" s="95" t="s">
        <v>122</v>
      </c>
      <c r="AE64" s="24">
        <f t="shared" si="7"/>
        <v>4575.8461538461543</v>
      </c>
      <c r="AF64" s="114">
        <f t="shared" si="8"/>
        <v>1.2710683760683761</v>
      </c>
      <c r="AG64" s="24">
        <f t="shared" si="9"/>
        <v>181</v>
      </c>
      <c r="AH64" s="24">
        <f t="shared" si="10"/>
        <v>5.0277777777777775E-2</v>
      </c>
      <c r="AI64" s="24">
        <f t="shared" si="11"/>
        <v>43.333333333333336</v>
      </c>
      <c r="AJ64" s="24">
        <f t="shared" si="6"/>
        <v>1.2037037037037037E-2</v>
      </c>
    </row>
    <row r="65" spans="1:36" x14ac:dyDescent="0.25">
      <c r="A65" s="1">
        <v>62</v>
      </c>
      <c r="B65" s="1" t="s">
        <v>11</v>
      </c>
      <c r="C65" s="1" t="s">
        <v>253</v>
      </c>
      <c r="D65" s="1" t="s">
        <v>198</v>
      </c>
      <c r="E65" s="23" t="s">
        <v>116</v>
      </c>
      <c r="F65" s="124" t="s">
        <v>117</v>
      </c>
      <c r="G65" s="9" t="str">
        <f>VLOOKUP(D65,'Asignacion Maquina'!$E$2:$F$76,2,0)</f>
        <v>Torno 2</v>
      </c>
      <c r="H65" s="73" t="s">
        <v>270</v>
      </c>
      <c r="I65" s="76">
        <v>0</v>
      </c>
      <c r="J65" s="111">
        <v>4575.8461538461543</v>
      </c>
      <c r="K65" s="84">
        <v>1</v>
      </c>
      <c r="L65" s="73" t="s">
        <v>271</v>
      </c>
      <c r="M65" s="76">
        <v>0</v>
      </c>
      <c r="N65" s="79">
        <v>66</v>
      </c>
      <c r="O65" s="73" t="s">
        <v>271</v>
      </c>
      <c r="P65" s="78">
        <v>0</v>
      </c>
      <c r="Q65" s="1">
        <v>11</v>
      </c>
      <c r="R65" s="1">
        <v>0</v>
      </c>
      <c r="S65" s="1">
        <v>8</v>
      </c>
      <c r="T65" s="1">
        <v>0</v>
      </c>
      <c r="U65" s="79">
        <v>10</v>
      </c>
      <c r="V65" s="78">
        <v>0</v>
      </c>
      <c r="W65" s="79">
        <v>0</v>
      </c>
      <c r="X65" s="78">
        <v>0</v>
      </c>
      <c r="Y65" s="1">
        <v>28</v>
      </c>
      <c r="Z65" s="1">
        <v>0</v>
      </c>
      <c r="AA65" s="1">
        <v>32</v>
      </c>
      <c r="AB65" s="1">
        <v>0</v>
      </c>
      <c r="AC65" s="79">
        <v>31</v>
      </c>
      <c r="AD65" s="95" t="s">
        <v>118</v>
      </c>
      <c r="AE65" s="24">
        <f t="shared" si="7"/>
        <v>4575.8461538461543</v>
      </c>
      <c r="AF65" s="114">
        <f t="shared" si="8"/>
        <v>1.2710683760683761</v>
      </c>
      <c r="AG65" s="24">
        <f t="shared" si="9"/>
        <v>66</v>
      </c>
      <c r="AH65" s="24">
        <f t="shared" si="10"/>
        <v>1.8333333333333333E-2</v>
      </c>
      <c r="AI65" s="24">
        <f t="shared" si="11"/>
        <v>22.333333333333332</v>
      </c>
      <c r="AJ65" s="24">
        <f t="shared" si="6"/>
        <v>6.2037037037037035E-3</v>
      </c>
    </row>
    <row r="66" spans="1:36" x14ac:dyDescent="0.25">
      <c r="A66" s="1">
        <v>63</v>
      </c>
      <c r="B66" s="1" t="s">
        <v>11</v>
      </c>
      <c r="C66" s="1" t="s">
        <v>253</v>
      </c>
      <c r="D66" s="1" t="s">
        <v>203</v>
      </c>
      <c r="E66" s="23" t="s">
        <v>119</v>
      </c>
      <c r="F66" s="124" t="s">
        <v>62</v>
      </c>
      <c r="G66" s="9" t="str">
        <f>VLOOKUP(D66,'Asignacion Maquina'!$E$2:$F$76,2,0)</f>
        <v>Torno 3</v>
      </c>
      <c r="H66" s="73" t="s">
        <v>270</v>
      </c>
      <c r="I66" s="76">
        <v>0</v>
      </c>
      <c r="J66" s="111">
        <v>4575.8461538461543</v>
      </c>
      <c r="K66" s="84">
        <v>1</v>
      </c>
      <c r="L66" s="73" t="s">
        <v>271</v>
      </c>
      <c r="M66" s="76">
        <v>0</v>
      </c>
      <c r="N66" s="79">
        <v>60</v>
      </c>
      <c r="O66" s="73" t="s">
        <v>271</v>
      </c>
      <c r="P66" s="78">
        <v>0</v>
      </c>
      <c r="Q66" s="1">
        <v>7</v>
      </c>
      <c r="R66" s="1">
        <v>0</v>
      </c>
      <c r="S66" s="1">
        <v>8</v>
      </c>
      <c r="T66" s="1">
        <v>0</v>
      </c>
      <c r="U66" s="79">
        <v>8</v>
      </c>
      <c r="V66" s="78">
        <v>0</v>
      </c>
      <c r="W66" s="79">
        <v>0</v>
      </c>
      <c r="X66" s="78">
        <v>0</v>
      </c>
      <c r="Y66" s="1">
        <v>15</v>
      </c>
      <c r="Z66" s="1">
        <v>0</v>
      </c>
      <c r="AA66" s="1">
        <v>18</v>
      </c>
      <c r="AB66" s="1">
        <v>0</v>
      </c>
      <c r="AC66" s="79">
        <v>17</v>
      </c>
      <c r="AD66" s="95" t="s">
        <v>120</v>
      </c>
      <c r="AE66" s="24">
        <f t="shared" si="7"/>
        <v>4575.8461538461543</v>
      </c>
      <c r="AF66" s="114">
        <f t="shared" si="8"/>
        <v>1.2710683760683761</v>
      </c>
      <c r="AG66" s="24">
        <f t="shared" si="9"/>
        <v>60</v>
      </c>
      <c r="AH66" s="24">
        <f t="shared" si="10"/>
        <v>1.6666666666666666E-2</v>
      </c>
      <c r="AI66" s="24">
        <f t="shared" si="11"/>
        <v>17.666666666666668</v>
      </c>
      <c r="AJ66" s="24">
        <f t="shared" si="6"/>
        <v>4.9074074074074081E-3</v>
      </c>
    </row>
    <row r="67" spans="1:36" x14ac:dyDescent="0.25">
      <c r="A67" s="1">
        <v>64</v>
      </c>
      <c r="B67" s="1" t="s">
        <v>11</v>
      </c>
      <c r="C67" s="1" t="s">
        <v>253</v>
      </c>
      <c r="D67" s="1" t="s">
        <v>179</v>
      </c>
      <c r="E67" s="23" t="s">
        <v>121</v>
      </c>
      <c r="F67" s="124" t="s">
        <v>43</v>
      </c>
      <c r="G67" s="9" t="str">
        <f>VLOOKUP(D67,'Asignacion Maquina'!$E$2:$F$76,2,0)</f>
        <v>Torno 4</v>
      </c>
      <c r="H67" s="73" t="s">
        <v>271</v>
      </c>
      <c r="I67" s="76">
        <v>105</v>
      </c>
      <c r="J67" s="77">
        <v>0</v>
      </c>
      <c r="K67" s="84">
        <v>1</v>
      </c>
      <c r="L67" s="73" t="s">
        <v>271</v>
      </c>
      <c r="M67" s="76">
        <v>0</v>
      </c>
      <c r="N67" s="79">
        <v>71</v>
      </c>
      <c r="O67" s="73" t="s">
        <v>271</v>
      </c>
      <c r="P67" s="78">
        <v>0</v>
      </c>
      <c r="Q67" s="1">
        <v>4</v>
      </c>
      <c r="R67" s="1">
        <v>0</v>
      </c>
      <c r="S67" s="1">
        <v>5</v>
      </c>
      <c r="T67" s="1">
        <v>0</v>
      </c>
      <c r="U67" s="79">
        <v>4</v>
      </c>
      <c r="V67" s="78">
        <v>0</v>
      </c>
      <c r="W67" s="79">
        <v>0</v>
      </c>
      <c r="X67" s="78">
        <v>0</v>
      </c>
      <c r="Y67" s="1">
        <v>14</v>
      </c>
      <c r="Z67" s="1">
        <v>0</v>
      </c>
      <c r="AA67" s="1">
        <v>17</v>
      </c>
      <c r="AB67" s="1">
        <v>0</v>
      </c>
      <c r="AC67" s="79">
        <v>13</v>
      </c>
      <c r="AD67" s="95" t="s">
        <v>122</v>
      </c>
      <c r="AE67" s="24">
        <f t="shared" si="7"/>
        <v>6300</v>
      </c>
      <c r="AF67" s="24">
        <f t="shared" si="8"/>
        <v>1.75</v>
      </c>
      <c r="AG67" s="24">
        <f t="shared" si="9"/>
        <v>71</v>
      </c>
      <c r="AH67" s="24">
        <f t="shared" si="10"/>
        <v>1.9722222222222221E-2</v>
      </c>
      <c r="AI67" s="24">
        <f t="shared" si="11"/>
        <v>10.333333333333334</v>
      </c>
      <c r="AJ67" s="24">
        <f t="shared" si="6"/>
        <v>2.8703703703703703E-3</v>
      </c>
    </row>
    <row r="68" spans="1:36" x14ac:dyDescent="0.25">
      <c r="A68" s="1">
        <v>65</v>
      </c>
      <c r="B68" s="1" t="s">
        <v>11</v>
      </c>
      <c r="C68" s="1" t="s">
        <v>253</v>
      </c>
      <c r="D68" s="1" t="s">
        <v>184</v>
      </c>
      <c r="E68" s="23" t="s">
        <v>149</v>
      </c>
      <c r="F68" s="124" t="s">
        <v>45</v>
      </c>
      <c r="G68" s="9" t="str">
        <f>VLOOKUP(D68,'Asignacion Maquina'!$E$2:$F$76,2,0)</f>
        <v>Torno 4</v>
      </c>
      <c r="H68" s="73" t="s">
        <v>271</v>
      </c>
      <c r="I68" s="76">
        <v>10</v>
      </c>
      <c r="J68" s="77">
        <v>0</v>
      </c>
      <c r="K68" s="84">
        <v>1</v>
      </c>
      <c r="L68" s="73" t="s">
        <v>271</v>
      </c>
      <c r="M68" s="76">
        <v>0</v>
      </c>
      <c r="N68" s="79">
        <v>90</v>
      </c>
      <c r="O68" s="73" t="s">
        <v>271</v>
      </c>
      <c r="P68" s="78">
        <v>0</v>
      </c>
      <c r="Q68" s="1">
        <v>24</v>
      </c>
      <c r="R68" s="1">
        <v>0</v>
      </c>
      <c r="S68" s="1">
        <v>26</v>
      </c>
      <c r="T68" s="1">
        <v>0</v>
      </c>
      <c r="U68" s="79">
        <v>23</v>
      </c>
      <c r="V68" s="78">
        <v>0</v>
      </c>
      <c r="W68" s="79">
        <v>0</v>
      </c>
      <c r="X68" s="78">
        <v>0</v>
      </c>
      <c r="Y68" s="1">
        <v>24</v>
      </c>
      <c r="Z68" s="1">
        <v>0</v>
      </c>
      <c r="AA68" s="1">
        <v>24</v>
      </c>
      <c r="AB68" s="1">
        <v>0</v>
      </c>
      <c r="AC68" s="79">
        <v>22</v>
      </c>
      <c r="AD68" s="95" t="s">
        <v>122</v>
      </c>
      <c r="AE68" s="24">
        <f t="shared" ref="AE68:AE78" si="12">(I68*60)+J68</f>
        <v>600</v>
      </c>
      <c r="AF68" s="24">
        <f t="shared" ref="AF68:AF78" si="13">AE68/3600</f>
        <v>0.16666666666666666</v>
      </c>
      <c r="AG68" s="24">
        <f t="shared" ref="AG68:AG78" si="14">(M68*60)+N68</f>
        <v>90</v>
      </c>
      <c r="AH68" s="24">
        <f t="shared" ref="AH68:AH78" si="15">AG68/3600</f>
        <v>2.5000000000000001E-2</v>
      </c>
      <c r="AI68" s="24">
        <f t="shared" ref="AI68:AI78" si="16">((P68+R68+T68)*60)+Q68+S68+U68/3</f>
        <v>57.666666666666664</v>
      </c>
      <c r="AJ68" s="24">
        <f t="shared" si="6"/>
        <v>1.6018518518518519E-2</v>
      </c>
    </row>
    <row r="69" spans="1:36" x14ac:dyDescent="0.25">
      <c r="A69" s="1">
        <v>66</v>
      </c>
      <c r="B69" s="1" t="s">
        <v>11</v>
      </c>
      <c r="C69" s="1" t="s">
        <v>253</v>
      </c>
      <c r="D69" s="1" t="s">
        <v>186</v>
      </c>
      <c r="E69" s="23" t="s">
        <v>127</v>
      </c>
      <c r="F69" s="124" t="s">
        <v>67</v>
      </c>
      <c r="G69" s="9" t="str">
        <f>VLOOKUP(D69,'Asignacion Maquina'!$E$2:$F$76,2,0)</f>
        <v>Torno 4</v>
      </c>
      <c r="H69" s="73" t="s">
        <v>270</v>
      </c>
      <c r="I69" s="76">
        <v>0</v>
      </c>
      <c r="J69" s="111">
        <v>4575.8461538461543</v>
      </c>
      <c r="K69" s="84">
        <v>1</v>
      </c>
      <c r="L69" s="73" t="s">
        <v>271</v>
      </c>
      <c r="M69" s="76">
        <v>0</v>
      </c>
      <c r="N69" s="79">
        <v>81</v>
      </c>
      <c r="O69" s="73" t="s">
        <v>271</v>
      </c>
      <c r="P69" s="78">
        <v>0</v>
      </c>
      <c r="Q69" s="1">
        <v>14</v>
      </c>
      <c r="R69" s="1">
        <v>0</v>
      </c>
      <c r="S69" s="1">
        <v>17</v>
      </c>
      <c r="T69" s="1">
        <v>0</v>
      </c>
      <c r="U69" s="79">
        <v>20</v>
      </c>
      <c r="V69" s="78">
        <v>0</v>
      </c>
      <c r="W69" s="79">
        <v>0</v>
      </c>
      <c r="X69" s="78">
        <v>0</v>
      </c>
      <c r="Y69" s="1">
        <v>24</v>
      </c>
      <c r="Z69" s="1">
        <v>0</v>
      </c>
      <c r="AA69" s="1">
        <v>27</v>
      </c>
      <c r="AB69" s="1">
        <v>0</v>
      </c>
      <c r="AC69" s="79">
        <v>23</v>
      </c>
      <c r="AD69" s="95" t="s">
        <v>128</v>
      </c>
      <c r="AE69" s="24">
        <f t="shared" si="12"/>
        <v>4575.8461538461543</v>
      </c>
      <c r="AF69" s="114">
        <f t="shared" si="13"/>
        <v>1.2710683760683761</v>
      </c>
      <c r="AG69" s="24">
        <f t="shared" si="14"/>
        <v>81</v>
      </c>
      <c r="AH69" s="24">
        <f t="shared" si="15"/>
        <v>2.2499999999999999E-2</v>
      </c>
      <c r="AI69" s="24">
        <f t="shared" si="16"/>
        <v>37.666666666666664</v>
      </c>
      <c r="AJ69" s="24">
        <f t="shared" si="6"/>
        <v>1.0462962962962962E-2</v>
      </c>
    </row>
    <row r="70" spans="1:36" x14ac:dyDescent="0.25">
      <c r="A70" s="1">
        <v>67</v>
      </c>
      <c r="B70" s="1" t="s">
        <v>11</v>
      </c>
      <c r="C70" s="1" t="s">
        <v>253</v>
      </c>
      <c r="D70" s="1" t="s">
        <v>201</v>
      </c>
      <c r="E70" s="23" t="s">
        <v>147</v>
      </c>
      <c r="F70" s="124" t="s">
        <v>45</v>
      </c>
      <c r="G70" s="9" t="str">
        <f>VLOOKUP(D70,'Asignacion Maquina'!$E$2:$F$76,2,0)</f>
        <v>Torno 4</v>
      </c>
      <c r="H70" s="73" t="s">
        <v>271</v>
      </c>
      <c r="I70" s="76">
        <v>60</v>
      </c>
      <c r="J70" s="77">
        <v>0</v>
      </c>
      <c r="K70" s="84">
        <v>1</v>
      </c>
      <c r="L70" s="73" t="s">
        <v>271</v>
      </c>
      <c r="M70" s="76">
        <v>0</v>
      </c>
      <c r="N70" s="79">
        <v>64</v>
      </c>
      <c r="O70" s="73" t="s">
        <v>271</v>
      </c>
      <c r="P70" s="78">
        <v>0</v>
      </c>
      <c r="Q70" s="1">
        <v>13</v>
      </c>
      <c r="R70" s="1">
        <v>0</v>
      </c>
      <c r="S70" s="1">
        <v>15</v>
      </c>
      <c r="T70" s="1">
        <v>0</v>
      </c>
      <c r="U70" s="79">
        <v>15</v>
      </c>
      <c r="V70" s="78">
        <v>0</v>
      </c>
      <c r="W70" s="79">
        <v>0</v>
      </c>
      <c r="X70" s="78">
        <v>0</v>
      </c>
      <c r="Y70" s="1">
        <v>16</v>
      </c>
      <c r="Z70" s="1">
        <v>0</v>
      </c>
      <c r="AA70" s="1">
        <v>18</v>
      </c>
      <c r="AB70" s="1">
        <v>0</v>
      </c>
      <c r="AC70" s="79">
        <v>16</v>
      </c>
      <c r="AD70" s="95" t="s">
        <v>122</v>
      </c>
      <c r="AE70" s="24">
        <f t="shared" si="12"/>
        <v>3600</v>
      </c>
      <c r="AF70" s="24">
        <f t="shared" si="13"/>
        <v>1</v>
      </c>
      <c r="AG70" s="24">
        <f t="shared" si="14"/>
        <v>64</v>
      </c>
      <c r="AH70" s="24">
        <f t="shared" si="15"/>
        <v>1.7777777777777778E-2</v>
      </c>
      <c r="AI70" s="24">
        <f t="shared" si="16"/>
        <v>33</v>
      </c>
      <c r="AJ70" s="24">
        <f t="shared" si="6"/>
        <v>9.1666666666666667E-3</v>
      </c>
    </row>
    <row r="71" spans="1:36" x14ac:dyDescent="0.25">
      <c r="A71" s="1">
        <v>68</v>
      </c>
      <c r="B71" s="1" t="s">
        <v>11</v>
      </c>
      <c r="C71" s="1" t="s">
        <v>253</v>
      </c>
      <c r="D71" s="1" t="s">
        <v>189</v>
      </c>
      <c r="E71" s="23" t="s">
        <v>130</v>
      </c>
      <c r="F71" s="124" t="s">
        <v>131</v>
      </c>
      <c r="G71" s="9" t="str">
        <f>VLOOKUP(D71,'Asignacion Maquina'!$E$2:$F$76,2,0)</f>
        <v>Torno 1</v>
      </c>
      <c r="H71" s="73" t="s">
        <v>270</v>
      </c>
      <c r="I71" s="76">
        <v>0</v>
      </c>
      <c r="J71" s="111">
        <v>4575.8461538461543</v>
      </c>
      <c r="K71" s="84">
        <v>1</v>
      </c>
      <c r="L71" s="73" t="s">
        <v>271</v>
      </c>
      <c r="M71" s="76">
        <v>0</v>
      </c>
      <c r="N71" s="79">
        <v>35</v>
      </c>
      <c r="O71" s="73" t="s">
        <v>271</v>
      </c>
      <c r="P71" s="78">
        <v>0</v>
      </c>
      <c r="Q71" s="1">
        <v>5</v>
      </c>
      <c r="R71" s="1">
        <v>0</v>
      </c>
      <c r="S71" s="1">
        <v>5</v>
      </c>
      <c r="T71" s="1">
        <v>0</v>
      </c>
      <c r="U71" s="79">
        <v>5</v>
      </c>
      <c r="V71" s="78">
        <v>0</v>
      </c>
      <c r="W71" s="79">
        <v>0</v>
      </c>
      <c r="X71" s="78">
        <v>0</v>
      </c>
      <c r="Y71" s="1">
        <v>15</v>
      </c>
      <c r="Z71" s="1">
        <v>0</v>
      </c>
      <c r="AA71" s="1">
        <v>13</v>
      </c>
      <c r="AB71" s="1">
        <v>0</v>
      </c>
      <c r="AC71" s="79">
        <v>15</v>
      </c>
      <c r="AD71" s="95" t="s">
        <v>126</v>
      </c>
      <c r="AE71" s="24">
        <f t="shared" si="12"/>
        <v>4575.8461538461543</v>
      </c>
      <c r="AF71" s="114">
        <f t="shared" si="13"/>
        <v>1.2710683760683761</v>
      </c>
      <c r="AG71" s="24">
        <f t="shared" si="14"/>
        <v>35</v>
      </c>
      <c r="AH71" s="24">
        <f t="shared" si="15"/>
        <v>9.7222222222222224E-3</v>
      </c>
      <c r="AI71" s="24">
        <f t="shared" si="16"/>
        <v>11.666666666666666</v>
      </c>
      <c r="AJ71" s="24">
        <f t="shared" si="6"/>
        <v>3.2407407407407406E-3</v>
      </c>
    </row>
    <row r="72" spans="1:36" x14ac:dyDescent="0.25">
      <c r="A72" s="1">
        <v>69</v>
      </c>
      <c r="B72" s="1" t="s">
        <v>11</v>
      </c>
      <c r="C72" s="1" t="s">
        <v>253</v>
      </c>
      <c r="D72" s="1" t="s">
        <v>187</v>
      </c>
      <c r="E72" s="23" t="s">
        <v>132</v>
      </c>
      <c r="F72" s="124" t="s">
        <v>92</v>
      </c>
      <c r="G72" s="9" t="str">
        <f>VLOOKUP(D72,'Asignacion Maquina'!$E$2:$F$76,2,0)</f>
        <v>Torno 4</v>
      </c>
      <c r="H72" s="73" t="s">
        <v>270</v>
      </c>
      <c r="I72" s="76">
        <v>0</v>
      </c>
      <c r="J72" s="111">
        <v>4575.8461538461543</v>
      </c>
      <c r="K72" s="84">
        <v>1</v>
      </c>
      <c r="L72" s="73" t="s">
        <v>271</v>
      </c>
      <c r="M72" s="76">
        <v>0</v>
      </c>
      <c r="N72" s="79">
        <v>97</v>
      </c>
      <c r="O72" s="73" t="s">
        <v>271</v>
      </c>
      <c r="P72" s="78">
        <v>0</v>
      </c>
      <c r="Q72" s="1">
        <v>13</v>
      </c>
      <c r="R72" s="1">
        <v>0</v>
      </c>
      <c r="S72" s="1">
        <v>14</v>
      </c>
      <c r="T72" s="1">
        <v>0</v>
      </c>
      <c r="U72" s="79">
        <v>13</v>
      </c>
      <c r="V72" s="78">
        <v>0</v>
      </c>
      <c r="W72" s="79">
        <v>0</v>
      </c>
      <c r="X72" s="78">
        <v>0</v>
      </c>
      <c r="Y72" s="1">
        <v>15</v>
      </c>
      <c r="Z72" s="1">
        <v>0</v>
      </c>
      <c r="AA72" s="1">
        <v>12</v>
      </c>
      <c r="AB72" s="1">
        <v>0</v>
      </c>
      <c r="AC72" s="79">
        <v>15</v>
      </c>
      <c r="AD72" s="95" t="s">
        <v>124</v>
      </c>
      <c r="AE72" s="24">
        <f t="shared" si="12"/>
        <v>4575.8461538461543</v>
      </c>
      <c r="AF72" s="114">
        <f t="shared" si="13"/>
        <v>1.2710683760683761</v>
      </c>
      <c r="AG72" s="24">
        <f t="shared" si="14"/>
        <v>97</v>
      </c>
      <c r="AH72" s="24">
        <f t="shared" si="15"/>
        <v>2.6944444444444444E-2</v>
      </c>
      <c r="AI72" s="24">
        <f t="shared" si="16"/>
        <v>31.333333333333332</v>
      </c>
      <c r="AJ72" s="24">
        <f t="shared" si="6"/>
        <v>8.7037037037037031E-3</v>
      </c>
    </row>
    <row r="73" spans="1:36" x14ac:dyDescent="0.25">
      <c r="A73" s="1">
        <v>70</v>
      </c>
      <c r="B73" s="1" t="s">
        <v>11</v>
      </c>
      <c r="C73" s="1" t="s">
        <v>253</v>
      </c>
      <c r="D73" s="1" t="s">
        <v>182</v>
      </c>
      <c r="E73" s="23" t="s">
        <v>134</v>
      </c>
      <c r="F73" s="124" t="s">
        <v>135</v>
      </c>
      <c r="G73" s="9" t="str">
        <f>VLOOKUP(D73,'Asignacion Maquina'!$E$2:$F$76,2,0)</f>
        <v>Torno 3</v>
      </c>
      <c r="H73" s="73" t="s">
        <v>270</v>
      </c>
      <c r="I73" s="108">
        <v>0</v>
      </c>
      <c r="J73" s="111">
        <v>4575.8461538461543</v>
      </c>
      <c r="K73" s="84">
        <v>1</v>
      </c>
      <c r="L73" s="73" t="s">
        <v>271</v>
      </c>
      <c r="M73" s="76">
        <v>0</v>
      </c>
      <c r="N73" s="79">
        <v>60</v>
      </c>
      <c r="O73" s="73" t="s">
        <v>271</v>
      </c>
      <c r="P73" s="78">
        <v>0</v>
      </c>
      <c r="Q73" s="1">
        <v>6</v>
      </c>
      <c r="R73" s="1">
        <v>0</v>
      </c>
      <c r="S73" s="1">
        <v>5</v>
      </c>
      <c r="T73" s="1">
        <v>0</v>
      </c>
      <c r="U73" s="79">
        <v>6</v>
      </c>
      <c r="V73" s="78">
        <v>0</v>
      </c>
      <c r="W73" s="79">
        <v>0</v>
      </c>
      <c r="X73" s="78">
        <v>0</v>
      </c>
      <c r="Y73" s="1">
        <v>28</v>
      </c>
      <c r="Z73" s="1">
        <v>0</v>
      </c>
      <c r="AA73" s="1">
        <v>28</v>
      </c>
      <c r="AB73" s="1">
        <v>0</v>
      </c>
      <c r="AC73" s="79">
        <v>25</v>
      </c>
      <c r="AD73" s="95" t="s">
        <v>136</v>
      </c>
      <c r="AE73" s="24">
        <f t="shared" si="12"/>
        <v>4575.8461538461543</v>
      </c>
      <c r="AF73" s="114">
        <f t="shared" si="13"/>
        <v>1.2710683760683761</v>
      </c>
      <c r="AG73" s="24">
        <f t="shared" si="14"/>
        <v>60</v>
      </c>
      <c r="AH73" s="24">
        <f t="shared" si="15"/>
        <v>1.6666666666666666E-2</v>
      </c>
      <c r="AI73" s="24">
        <f t="shared" si="16"/>
        <v>13</v>
      </c>
      <c r="AJ73" s="24">
        <f t="shared" si="6"/>
        <v>3.6111111111111109E-3</v>
      </c>
    </row>
    <row r="74" spans="1:36" x14ac:dyDescent="0.25">
      <c r="A74" s="1">
        <v>71</v>
      </c>
      <c r="B74" s="1" t="s">
        <v>11</v>
      </c>
      <c r="C74" s="1" t="s">
        <v>253</v>
      </c>
      <c r="D74" s="1" t="s">
        <v>177</v>
      </c>
      <c r="E74" s="23" t="s">
        <v>138</v>
      </c>
      <c r="F74" s="124" t="s">
        <v>75</v>
      </c>
      <c r="G74" s="9" t="str">
        <f>VLOOKUP(D74,'Asignacion Maquina'!$E$2:$F$76,2,0)</f>
        <v>Torno 1</v>
      </c>
      <c r="H74" s="73" t="s">
        <v>270</v>
      </c>
      <c r="I74" s="108">
        <v>0</v>
      </c>
      <c r="J74" s="111">
        <v>4575.8461538461543</v>
      </c>
      <c r="K74" s="84">
        <v>1</v>
      </c>
      <c r="L74" s="73" t="s">
        <v>271</v>
      </c>
      <c r="M74" s="76">
        <v>0</v>
      </c>
      <c r="N74" s="79">
        <v>70</v>
      </c>
      <c r="O74" s="73" t="s">
        <v>271</v>
      </c>
      <c r="P74" s="78">
        <v>0</v>
      </c>
      <c r="Q74" s="1">
        <v>5</v>
      </c>
      <c r="R74" s="1">
        <v>0</v>
      </c>
      <c r="S74" s="1">
        <v>5</v>
      </c>
      <c r="T74" s="1">
        <v>0</v>
      </c>
      <c r="U74" s="79">
        <v>6</v>
      </c>
      <c r="V74" s="78">
        <v>0</v>
      </c>
      <c r="W74" s="79">
        <v>0</v>
      </c>
      <c r="X74" s="78">
        <v>0</v>
      </c>
      <c r="Y74" s="1">
        <v>11</v>
      </c>
      <c r="Z74" s="1">
        <v>0</v>
      </c>
      <c r="AA74" s="1">
        <v>10</v>
      </c>
      <c r="AB74" s="1">
        <v>0</v>
      </c>
      <c r="AC74" s="79">
        <v>9</v>
      </c>
      <c r="AD74" s="95" t="s">
        <v>122</v>
      </c>
      <c r="AE74" s="24">
        <f t="shared" si="12"/>
        <v>4575.8461538461543</v>
      </c>
      <c r="AF74" s="114">
        <f t="shared" si="13"/>
        <v>1.2710683760683761</v>
      </c>
      <c r="AG74" s="24">
        <f t="shared" si="14"/>
        <v>70</v>
      </c>
      <c r="AH74" s="24">
        <f t="shared" si="15"/>
        <v>1.9444444444444445E-2</v>
      </c>
      <c r="AI74" s="24">
        <f t="shared" si="16"/>
        <v>12</v>
      </c>
      <c r="AJ74" s="24">
        <f t="shared" si="6"/>
        <v>3.3333333333333335E-3</v>
      </c>
    </row>
    <row r="75" spans="1:36" x14ac:dyDescent="0.25">
      <c r="A75" s="1">
        <v>72</v>
      </c>
      <c r="B75" s="1" t="s">
        <v>11</v>
      </c>
      <c r="C75" s="1" t="s">
        <v>253</v>
      </c>
      <c r="D75" s="1" t="s">
        <v>188</v>
      </c>
      <c r="E75" s="23" t="s">
        <v>142</v>
      </c>
      <c r="F75" s="124" t="s">
        <v>62</v>
      </c>
      <c r="G75" s="9" t="str">
        <f>VLOOKUP(D75,'Asignacion Maquina'!$E$2:$F$76,2,0)</f>
        <v>Torno 4</v>
      </c>
      <c r="H75" s="73" t="s">
        <v>270</v>
      </c>
      <c r="I75" s="76">
        <v>0</v>
      </c>
      <c r="J75" s="111">
        <v>4575.8461538461543</v>
      </c>
      <c r="K75" s="84">
        <v>1</v>
      </c>
      <c r="L75" s="73" t="s">
        <v>271</v>
      </c>
      <c r="M75" s="76">
        <v>0</v>
      </c>
      <c r="N75" s="79">
        <v>99</v>
      </c>
      <c r="O75" s="73" t="s">
        <v>271</v>
      </c>
      <c r="P75" s="78">
        <v>0</v>
      </c>
      <c r="Q75" s="1">
        <v>24</v>
      </c>
      <c r="R75" s="1">
        <v>0</v>
      </c>
      <c r="S75" s="1">
        <v>29</v>
      </c>
      <c r="T75" s="1">
        <v>0</v>
      </c>
      <c r="U75" s="79">
        <v>27</v>
      </c>
      <c r="V75" s="78">
        <v>0</v>
      </c>
      <c r="W75" s="79">
        <v>0</v>
      </c>
      <c r="X75" s="78">
        <v>0</v>
      </c>
      <c r="Y75" s="1">
        <v>35</v>
      </c>
      <c r="Z75" s="1">
        <v>0</v>
      </c>
      <c r="AA75" s="1">
        <v>29</v>
      </c>
      <c r="AB75" s="1">
        <v>0</v>
      </c>
      <c r="AC75" s="79">
        <v>28</v>
      </c>
      <c r="AD75" s="95" t="s">
        <v>126</v>
      </c>
      <c r="AE75" s="24">
        <f t="shared" si="12"/>
        <v>4575.8461538461543</v>
      </c>
      <c r="AF75" s="114">
        <f t="shared" si="13"/>
        <v>1.2710683760683761</v>
      </c>
      <c r="AG75" s="24">
        <f t="shared" si="14"/>
        <v>99</v>
      </c>
      <c r="AH75" s="24">
        <f t="shared" si="15"/>
        <v>2.75E-2</v>
      </c>
      <c r="AI75" s="24">
        <f t="shared" si="16"/>
        <v>62</v>
      </c>
      <c r="AJ75" s="24">
        <f t="shared" si="6"/>
        <v>1.7222222222222222E-2</v>
      </c>
    </row>
    <row r="76" spans="1:36" x14ac:dyDescent="0.25">
      <c r="A76" s="106">
        <v>73</v>
      </c>
      <c r="B76" s="106" t="s">
        <v>11</v>
      </c>
      <c r="C76" s="107" t="s">
        <v>253</v>
      </c>
      <c r="D76" s="106" t="s">
        <v>170</v>
      </c>
      <c r="E76" s="23" t="s">
        <v>143</v>
      </c>
      <c r="F76" s="124" t="s">
        <v>140</v>
      </c>
      <c r="G76" s="9" t="str">
        <f>VLOOKUP(D76,'Asignacion Maquina'!$E$2:$F$76,2,0)</f>
        <v>Torno 3</v>
      </c>
      <c r="H76" s="73" t="s">
        <v>270</v>
      </c>
      <c r="I76" s="76">
        <v>0</v>
      </c>
      <c r="J76" s="111">
        <v>4575.8461538461543</v>
      </c>
      <c r="K76" s="84">
        <v>1</v>
      </c>
      <c r="L76" s="73" t="s">
        <v>271</v>
      </c>
      <c r="M76" s="76">
        <v>0</v>
      </c>
      <c r="N76" s="88">
        <v>40</v>
      </c>
      <c r="O76" s="73" t="s">
        <v>271</v>
      </c>
      <c r="P76" s="92">
        <v>0</v>
      </c>
      <c r="Q76" s="25">
        <v>3</v>
      </c>
      <c r="R76" s="25">
        <v>0</v>
      </c>
      <c r="S76" s="25">
        <v>3</v>
      </c>
      <c r="T76" s="25">
        <v>0</v>
      </c>
      <c r="U76" s="88">
        <v>3</v>
      </c>
      <c r="V76" s="78">
        <v>0</v>
      </c>
      <c r="W76" s="79">
        <v>0</v>
      </c>
      <c r="X76" s="92">
        <v>0</v>
      </c>
      <c r="Y76" s="25">
        <v>22</v>
      </c>
      <c r="Z76" s="25">
        <v>0</v>
      </c>
      <c r="AA76" s="25">
        <v>19</v>
      </c>
      <c r="AB76" s="25">
        <v>0</v>
      </c>
      <c r="AC76" s="88">
        <v>21</v>
      </c>
      <c r="AD76" s="96" t="s">
        <v>144</v>
      </c>
      <c r="AE76" s="24">
        <f t="shared" si="12"/>
        <v>4575.8461538461543</v>
      </c>
      <c r="AF76" s="114">
        <f t="shared" si="13"/>
        <v>1.2710683760683761</v>
      </c>
      <c r="AG76" s="24">
        <f t="shared" si="14"/>
        <v>40</v>
      </c>
      <c r="AH76" s="24">
        <f t="shared" si="15"/>
        <v>1.1111111111111112E-2</v>
      </c>
      <c r="AI76" s="24">
        <f t="shared" si="16"/>
        <v>7</v>
      </c>
      <c r="AJ76" s="26">
        <f t="shared" si="6"/>
        <v>1.9444444444444444E-3</v>
      </c>
    </row>
    <row r="77" spans="1:36" x14ac:dyDescent="0.25">
      <c r="A77" s="1">
        <v>74</v>
      </c>
      <c r="B77" s="1" t="s">
        <v>11</v>
      </c>
      <c r="C77" s="107" t="s">
        <v>253</v>
      </c>
      <c r="D77" s="1" t="s">
        <v>197</v>
      </c>
      <c r="E77" s="23" t="s">
        <v>150</v>
      </c>
      <c r="F77" s="124" t="s">
        <v>117</v>
      </c>
      <c r="G77" s="9" t="str">
        <f>VLOOKUP(D77,'Asignacion Maquina'!$E$2:$F$76,2,0)</f>
        <v>Torno 1</v>
      </c>
      <c r="H77" s="73" t="s">
        <v>270</v>
      </c>
      <c r="I77" s="76">
        <v>0</v>
      </c>
      <c r="J77" s="111">
        <v>4575.8461538461543</v>
      </c>
      <c r="K77" s="84">
        <v>1</v>
      </c>
      <c r="L77" s="73" t="s">
        <v>271</v>
      </c>
      <c r="M77" s="76">
        <v>0</v>
      </c>
      <c r="N77" s="79">
        <v>65</v>
      </c>
      <c r="O77" s="73" t="s">
        <v>271</v>
      </c>
      <c r="P77" s="78">
        <v>0</v>
      </c>
      <c r="Q77" s="1">
        <v>8</v>
      </c>
      <c r="R77" s="1">
        <v>0</v>
      </c>
      <c r="S77" s="1">
        <v>9</v>
      </c>
      <c r="T77" s="1">
        <v>0</v>
      </c>
      <c r="U77" s="79">
        <v>6</v>
      </c>
      <c r="V77" s="78">
        <v>0</v>
      </c>
      <c r="W77" s="79">
        <v>0</v>
      </c>
      <c r="X77" s="78">
        <v>0</v>
      </c>
      <c r="Y77" s="1">
        <v>26</v>
      </c>
      <c r="Z77" s="1">
        <v>0</v>
      </c>
      <c r="AA77" s="1">
        <v>25</v>
      </c>
      <c r="AB77" s="1">
        <v>0</v>
      </c>
      <c r="AC77" s="79">
        <v>20</v>
      </c>
      <c r="AD77" s="95" t="s">
        <v>124</v>
      </c>
      <c r="AE77" s="24">
        <f t="shared" si="12"/>
        <v>4575.8461538461543</v>
      </c>
      <c r="AF77" s="114">
        <f t="shared" si="13"/>
        <v>1.2710683760683761</v>
      </c>
      <c r="AG77" s="24">
        <f t="shared" si="14"/>
        <v>65</v>
      </c>
      <c r="AH77" s="24">
        <f t="shared" si="15"/>
        <v>1.8055555555555554E-2</v>
      </c>
      <c r="AI77" s="24">
        <f t="shared" si="16"/>
        <v>19</v>
      </c>
      <c r="AJ77" s="24">
        <f t="shared" si="6"/>
        <v>5.2777777777777779E-3</v>
      </c>
    </row>
    <row r="78" spans="1:36" ht="15.75" thickBot="1" x14ac:dyDescent="0.3">
      <c r="A78" s="1">
        <v>75</v>
      </c>
      <c r="B78" s="1" t="s">
        <v>11</v>
      </c>
      <c r="C78" s="107" t="s">
        <v>253</v>
      </c>
      <c r="D78" s="1" t="s">
        <v>202</v>
      </c>
      <c r="E78" s="23" t="s">
        <v>154</v>
      </c>
      <c r="F78" s="124" t="s">
        <v>71</v>
      </c>
      <c r="G78" s="9" t="str">
        <f>VLOOKUP(D78,'Asignacion Maquina'!$E$2:$F$76,2,0)</f>
        <v>Torno 2</v>
      </c>
      <c r="H78" s="73" t="s">
        <v>271</v>
      </c>
      <c r="I78" s="82">
        <v>60</v>
      </c>
      <c r="J78" s="77">
        <v>0</v>
      </c>
      <c r="K78" s="86">
        <v>1</v>
      </c>
      <c r="L78" s="73" t="s">
        <v>271</v>
      </c>
      <c r="M78" s="82">
        <v>0</v>
      </c>
      <c r="N78" s="89">
        <v>356</v>
      </c>
      <c r="O78" s="73" t="s">
        <v>271</v>
      </c>
      <c r="P78" s="91">
        <v>1</v>
      </c>
      <c r="Q78" s="93">
        <v>26</v>
      </c>
      <c r="R78" s="93">
        <v>1</v>
      </c>
      <c r="S78" s="93">
        <v>40</v>
      </c>
      <c r="T78" s="93">
        <v>1</v>
      </c>
      <c r="U78" s="89">
        <v>36</v>
      </c>
      <c r="V78" s="91">
        <v>0</v>
      </c>
      <c r="W78" s="89">
        <v>0</v>
      </c>
      <c r="X78" s="91">
        <v>1</v>
      </c>
      <c r="Y78" s="93">
        <v>16</v>
      </c>
      <c r="Z78" s="93">
        <v>1</v>
      </c>
      <c r="AA78" s="93">
        <v>20</v>
      </c>
      <c r="AB78" s="93">
        <v>1</v>
      </c>
      <c r="AC78" s="89">
        <v>17</v>
      </c>
      <c r="AD78" s="95" t="s">
        <v>122</v>
      </c>
      <c r="AE78" s="24">
        <f t="shared" si="12"/>
        <v>3600</v>
      </c>
      <c r="AF78" s="24">
        <f t="shared" si="13"/>
        <v>1</v>
      </c>
      <c r="AG78" s="24">
        <f t="shared" si="14"/>
        <v>356</v>
      </c>
      <c r="AH78" s="24">
        <f t="shared" si="15"/>
        <v>9.8888888888888887E-2</v>
      </c>
      <c r="AI78" s="24">
        <f t="shared" si="16"/>
        <v>258</v>
      </c>
      <c r="AJ78" s="24">
        <f t="shared" si="6"/>
        <v>7.166666666666667E-2</v>
      </c>
    </row>
    <row r="85" spans="32:32" x14ac:dyDescent="0.25">
      <c r="AF85" s="40"/>
    </row>
  </sheetData>
  <autoFilter ref="A3:AJ78">
    <sortState ref="A4:AJ78">
      <sortCondition ref="A3:A78"/>
    </sortState>
  </autoFilter>
  <mergeCells count="20">
    <mergeCell ref="V1:W2"/>
    <mergeCell ref="AI1:AJ2"/>
    <mergeCell ref="AG1:AH2"/>
    <mergeCell ref="AE1:AF2"/>
    <mergeCell ref="AD1:AD2"/>
    <mergeCell ref="X1:AC1"/>
    <mergeCell ref="Z2:AA2"/>
    <mergeCell ref="AB2:AC2"/>
    <mergeCell ref="A1:A2"/>
    <mergeCell ref="B1:B2"/>
    <mergeCell ref="D1:E2"/>
    <mergeCell ref="P1:U1"/>
    <mergeCell ref="C1:C2"/>
    <mergeCell ref="F1:F2"/>
    <mergeCell ref="G1:G2"/>
    <mergeCell ref="I1:J2"/>
    <mergeCell ref="K1:K2"/>
    <mergeCell ref="M1:N2"/>
    <mergeCell ref="R2:S2"/>
    <mergeCell ref="T2:U2"/>
  </mergeCells>
  <conditionalFormatting sqref="A4:A78">
    <cfRule type="duplicateValues" dxfId="8" priority="10"/>
  </conditionalFormatting>
  <conditionalFormatting sqref="H4:H78">
    <cfRule type="containsText" dxfId="7" priority="1" operator="containsText" text="SIN DATO">
      <formula>NOT(ISERROR(SEARCH("SIN DATO",H4)))</formula>
    </cfRule>
    <cfRule type="containsText" dxfId="6" priority="7" operator="containsText" text="REAL">
      <formula>NOT(ISERROR(SEARCH("REAL",H4)))</formula>
    </cfRule>
    <cfRule type="containsText" dxfId="5" priority="8" operator="containsText" text="PROMEDIADO">
      <formula>NOT(ISERROR(SEARCH("PROMEDIADO",H4)))</formula>
    </cfRule>
  </conditionalFormatting>
  <conditionalFormatting sqref="L4:L78">
    <cfRule type="containsText" dxfId="4" priority="5" operator="containsText" text="REAL">
      <formula>NOT(ISERROR(SEARCH("REAL",L4)))</formula>
    </cfRule>
    <cfRule type="containsText" dxfId="3" priority="6" operator="containsText" text="PROMEDIADO">
      <formula>NOT(ISERROR(SEARCH("PROMEDIADO",L4)))</formula>
    </cfRule>
  </conditionalFormatting>
  <conditionalFormatting sqref="O4:O78">
    <cfRule type="containsText" dxfId="2" priority="3" operator="containsText" text="REAL">
      <formula>NOT(ISERROR(SEARCH("REAL",O4)))</formula>
    </cfRule>
    <cfRule type="containsText" dxfId="1" priority="4" operator="containsText" text="PROMEDIADO">
      <formula>NOT(ISERROR(SEARCH("PROMEDIADO",O4)))</formula>
    </cfRule>
  </conditionalFormatting>
  <conditionalFormatting sqref="H4:H78 L4:L78 O4:O78">
    <cfRule type="containsText" dxfId="0" priority="2" operator="containsText" text="SIN DATO">
      <formula>NOT(ISERROR(SEARCH("SIN DATO",H4)))</formula>
    </cfRule>
  </conditionalFormatting>
  <dataValidations count="1">
    <dataValidation type="list" allowBlank="1" showInputMessage="1" showErrorMessage="1" sqref="H4:H78 O4:O78 L4:L78">
      <formula1>$AN$4:$AN$6</formula1>
    </dataValidation>
  </dataValidations>
  <pageMargins left="0.7" right="0.7" top="0.75" bottom="0.75" header="0.3" footer="0.3"/>
  <pageSetup paperSize="9" orientation="portrait" horizontalDpi="4294967295" verticalDpi="4294967295"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A78"/>
  <sheetViews>
    <sheetView zoomScaleNormal="100" workbookViewId="0">
      <selection activeCell="Z13" sqref="Z13"/>
    </sheetView>
  </sheetViews>
  <sheetFormatPr defaultRowHeight="15" x14ac:dyDescent="0.25"/>
  <cols>
    <col min="2" max="2" width="12.85546875" bestFit="1" customWidth="1"/>
    <col min="3" max="3" width="22.7109375" bestFit="1" customWidth="1"/>
    <col min="4" max="4" width="21.140625" bestFit="1" customWidth="1"/>
    <col min="5" max="5" width="13.140625" bestFit="1" customWidth="1"/>
    <col min="20" max="20" width="21.5703125" bestFit="1" customWidth="1"/>
    <col min="21" max="21" width="16" customWidth="1"/>
    <col min="22" max="22" width="22.5703125" customWidth="1"/>
    <col min="23" max="23" width="25.85546875" bestFit="1" customWidth="1"/>
    <col min="24" max="24" width="28.42578125" bestFit="1" customWidth="1"/>
    <col min="25" max="25" width="25.5703125" bestFit="1" customWidth="1"/>
    <col min="26" max="26" width="17.140625" bestFit="1" customWidth="1"/>
    <col min="27" max="27" width="10.42578125" bestFit="1" customWidth="1"/>
  </cols>
  <sheetData>
    <row r="1" spans="1:27" x14ac:dyDescent="0.25">
      <c r="F1" s="163" t="s">
        <v>264</v>
      </c>
      <c r="G1" s="164"/>
      <c r="H1" s="164"/>
      <c r="I1" s="164"/>
      <c r="J1" s="164"/>
      <c r="K1" s="165"/>
      <c r="L1" s="166" t="s">
        <v>267</v>
      </c>
      <c r="M1" s="167"/>
      <c r="N1" s="163" t="s">
        <v>269</v>
      </c>
      <c r="O1" s="164"/>
      <c r="P1" s="164"/>
      <c r="Q1" s="164"/>
      <c r="R1" s="164"/>
      <c r="S1" s="165"/>
    </row>
    <row r="2" spans="1:27" x14ac:dyDescent="0.25">
      <c r="F2" s="98">
        <v>1</v>
      </c>
      <c r="G2" s="99"/>
      <c r="H2" s="172">
        <v>2</v>
      </c>
      <c r="I2" s="173"/>
      <c r="J2" s="172">
        <v>3</v>
      </c>
      <c r="K2" s="174"/>
      <c r="L2" s="168"/>
      <c r="M2" s="169"/>
      <c r="N2" s="98">
        <v>1</v>
      </c>
      <c r="O2" s="99"/>
      <c r="P2" s="172">
        <v>2</v>
      </c>
      <c r="Q2" s="173"/>
      <c r="R2" s="172">
        <v>3</v>
      </c>
      <c r="S2" s="174"/>
    </row>
    <row r="3" spans="1:27" ht="31.5" customHeight="1" x14ac:dyDescent="0.25">
      <c r="A3" s="35" t="s">
        <v>164</v>
      </c>
      <c r="B3" s="36" t="s">
        <v>7</v>
      </c>
      <c r="C3" s="36" t="s">
        <v>8</v>
      </c>
      <c r="D3" s="36"/>
      <c r="E3" s="36" t="s">
        <v>9</v>
      </c>
      <c r="F3" s="74" t="s">
        <v>17</v>
      </c>
      <c r="G3" s="69" t="s">
        <v>1</v>
      </c>
      <c r="H3" s="69" t="s">
        <v>17</v>
      </c>
      <c r="I3" s="69" t="s">
        <v>1</v>
      </c>
      <c r="J3" s="69" t="s">
        <v>17</v>
      </c>
      <c r="K3" s="75" t="s">
        <v>1</v>
      </c>
      <c r="L3" s="74" t="s">
        <v>17</v>
      </c>
      <c r="M3" s="75" t="s">
        <v>1</v>
      </c>
      <c r="N3" s="74" t="s">
        <v>17</v>
      </c>
      <c r="O3" s="69" t="s">
        <v>1</v>
      </c>
      <c r="P3" s="69" t="s">
        <v>17</v>
      </c>
      <c r="Q3" s="69" t="s">
        <v>1</v>
      </c>
      <c r="R3" s="69" t="s">
        <v>17</v>
      </c>
      <c r="S3" s="75" t="s">
        <v>1</v>
      </c>
      <c r="T3" s="37" t="s">
        <v>277</v>
      </c>
      <c r="U3" s="36" t="s">
        <v>278</v>
      </c>
      <c r="V3" s="36" t="s">
        <v>279</v>
      </c>
      <c r="W3" s="36" t="s">
        <v>280</v>
      </c>
      <c r="X3" s="38" t="s">
        <v>281</v>
      </c>
      <c r="Y3" s="36" t="s">
        <v>282</v>
      </c>
      <c r="Z3" s="39" t="s">
        <v>163</v>
      </c>
      <c r="AA3" s="39" t="s">
        <v>260</v>
      </c>
    </row>
    <row r="4" spans="1:27" x14ac:dyDescent="0.25">
      <c r="A4" s="1">
        <v>1</v>
      </c>
      <c r="B4" s="5" t="s">
        <v>11</v>
      </c>
      <c r="C4" s="121" t="s">
        <v>256</v>
      </c>
      <c r="D4" s="5" t="s">
        <v>231</v>
      </c>
      <c r="E4" s="6" t="s">
        <v>90</v>
      </c>
      <c r="F4" s="76">
        <f>VLOOKUP($D$4,Driver!$D$4:$AC$78,13,0)</f>
        <v>1</v>
      </c>
      <c r="G4" s="76">
        <f>VLOOKUP(D4,Driver!$D$4:$AC$78,14,0)</f>
        <v>15</v>
      </c>
      <c r="H4" s="76">
        <f>VLOOKUP(D4,Driver!$D$4:$AC$78,15,0)</f>
        <v>1</v>
      </c>
      <c r="I4" s="76">
        <f>VLOOKUP(D4,Driver!$D$4:$AC$78,16,0)</f>
        <v>25</v>
      </c>
      <c r="J4" s="76">
        <f>VLOOKUP(D4,Driver!$D$4:$AC$78,17,0)</f>
        <v>1</v>
      </c>
      <c r="K4" s="76">
        <f>VLOOKUP(D4,Driver!$D$4:$AC$78,18,0)</f>
        <v>18</v>
      </c>
      <c r="L4" s="76">
        <f>VLOOKUP(D4,Driver!$D$4:$AC$78,19,0)</f>
        <v>0</v>
      </c>
      <c r="M4" s="76">
        <f>VLOOKUP(D4,Driver!$D$4:$AC$78,20,0)</f>
        <v>0</v>
      </c>
      <c r="N4" s="76">
        <f>VLOOKUP(D4,Driver!$D$4:$AC$78,21,0)</f>
        <v>1</v>
      </c>
      <c r="O4" s="76">
        <f>VLOOKUP(D4,Driver!$D$4:$AC$78,22,0)</f>
        <v>0</v>
      </c>
      <c r="P4" s="76">
        <f>VLOOKUP(D4,Driver!$D$4:$AC$78,23,0)</f>
        <v>1</v>
      </c>
      <c r="Q4" s="76">
        <f>VLOOKUP(D4,Driver!$D$4:$AC$78,24,0)</f>
        <v>11</v>
      </c>
      <c r="R4" s="76">
        <f>VLOOKUP(D4,Driver!$D$4:$AC$78,25,0)</f>
        <v>1</v>
      </c>
      <c r="S4" s="76">
        <f>VLOOKUP(D4,Driver!$D$4:$AC$78,26,0)</f>
        <v>3</v>
      </c>
      <c r="T4" s="29">
        <f>(((N4+P4+R4)*60)+O4+Q4+S4/3)/3600</f>
        <v>5.3333333333333337E-2</v>
      </c>
      <c r="U4" s="29">
        <f>(((F4+H4+J4)*60)+G4+I4+K4/3)/3600</f>
        <v>6.277777777777778E-2</v>
      </c>
      <c r="V4" s="31">
        <f>((L4*60)+M4)/3600</f>
        <v>0</v>
      </c>
      <c r="W4" s="29" t="e">
        <f>U4*AA4</f>
        <v>#REF!</v>
      </c>
      <c r="X4" s="29" t="e">
        <f>T4*AA4</f>
        <v>#REF!</v>
      </c>
      <c r="Y4" s="29" t="e">
        <f>V4*AA4</f>
        <v>#REF!</v>
      </c>
      <c r="Z4" s="7" t="e">
        <f>SUM(W4:Y4)</f>
        <v>#REF!</v>
      </c>
      <c r="AA4" s="1" t="e">
        <f>VLOOKUP(C4,'Calculo Demanda'!#REF!,2,0)</f>
        <v>#REF!</v>
      </c>
    </row>
    <row r="5" spans="1:27" x14ac:dyDescent="0.25">
      <c r="A5" s="1">
        <v>2</v>
      </c>
      <c r="B5" s="5" t="s">
        <v>11</v>
      </c>
      <c r="C5" s="121" t="s">
        <v>256</v>
      </c>
      <c r="D5" s="5" t="s">
        <v>229</v>
      </c>
      <c r="E5" s="6" t="s">
        <v>87</v>
      </c>
      <c r="F5" s="76">
        <f>VLOOKUP($D$5,Driver!$D$4:$AC$78,13,0)</f>
        <v>1</v>
      </c>
      <c r="G5" s="76">
        <f>VLOOKUP(D5,Driver!$D$4:$AC$78,14,0)</f>
        <v>4</v>
      </c>
      <c r="H5" s="76">
        <f>VLOOKUP(D5,Driver!$D$4:$AC$78,15,0)</f>
        <v>1</v>
      </c>
      <c r="I5" s="76">
        <f>VLOOKUP(D5,Driver!$D$4:$AC$78,16,0)</f>
        <v>9</v>
      </c>
      <c r="J5" s="76">
        <f>VLOOKUP(D5,Driver!$D$4:$AC$78,17,0)</f>
        <v>1</v>
      </c>
      <c r="K5" s="76">
        <f>VLOOKUP(D5,Driver!$D$4:$AC$78,18,0)</f>
        <v>10</v>
      </c>
      <c r="L5" s="76">
        <f>VLOOKUP(D5,Driver!$D$4:$AC$78,19,0)</f>
        <v>0</v>
      </c>
      <c r="M5" s="76">
        <f>VLOOKUP(D5,Driver!$D$4:$AC$78,20,0)</f>
        <v>0</v>
      </c>
      <c r="N5" s="76">
        <f>VLOOKUP(D5,Driver!$D$4:$AC$78,21,0)</f>
        <v>0</v>
      </c>
      <c r="O5" s="76">
        <f>VLOOKUP(D5,Driver!$D$4:$AC$78,22,0)</f>
        <v>27</v>
      </c>
      <c r="P5" s="76">
        <f>VLOOKUP(D5,Driver!$D$4:$AC$78,23,0)</f>
        <v>0</v>
      </c>
      <c r="Q5" s="76">
        <f>VLOOKUP(D5,Driver!$D$4:$AC$78,24,0)</f>
        <v>31</v>
      </c>
      <c r="R5" s="76">
        <f>VLOOKUP(D5,Driver!$D$4:$AC$78,25,0)</f>
        <v>0</v>
      </c>
      <c r="S5" s="76">
        <f>VLOOKUP(D5,Driver!$D$4:$AC$78,26,0)</f>
        <v>28</v>
      </c>
      <c r="T5" s="29">
        <f t="shared" ref="T5:T68" si="0">(((N5+P5+R5)*60)+O5+Q5+S5/3)/3600</f>
        <v>1.8703703703703702E-2</v>
      </c>
      <c r="U5" s="29">
        <f>(((F5+H5+J5)*60)+G5+I5+K5/3)/3600</f>
        <v>5.4537037037037037E-2</v>
      </c>
      <c r="V5" s="31">
        <f t="shared" ref="V5:V68" si="1">((L5*60)+M5)/3600</f>
        <v>0</v>
      </c>
      <c r="W5" s="29" t="e">
        <f t="shared" ref="W5:W68" si="2">U5*AA5</f>
        <v>#REF!</v>
      </c>
      <c r="X5" s="29" t="e">
        <f t="shared" ref="X5:X68" si="3">T5*AA5</f>
        <v>#REF!</v>
      </c>
      <c r="Y5" s="29" t="e">
        <f t="shared" ref="Y5:Y68" si="4">V5*AA5</f>
        <v>#REF!</v>
      </c>
      <c r="Z5" s="7" t="e">
        <f t="shared" ref="Z5:Z68" si="5">SUM(W5:Y5)</f>
        <v>#REF!</v>
      </c>
      <c r="AA5" s="1" t="e">
        <f>VLOOKUP(C5,'Calculo Demanda'!#REF!,2,0)</f>
        <v>#REF!</v>
      </c>
    </row>
    <row r="6" spans="1:27" x14ac:dyDescent="0.25">
      <c r="A6" s="1">
        <v>3</v>
      </c>
      <c r="B6" s="5" t="s">
        <v>11</v>
      </c>
      <c r="C6" s="121" t="s">
        <v>256</v>
      </c>
      <c r="D6" s="5" t="s">
        <v>232</v>
      </c>
      <c r="E6" s="125" t="s">
        <v>153</v>
      </c>
      <c r="F6" s="76">
        <f>VLOOKUP(D6,Driver!$D$4:$AC$78,13,0)</f>
        <v>0</v>
      </c>
      <c r="G6" s="76">
        <f>VLOOKUP(D6,Driver!$D$4:$AC$78,14,0)</f>
        <v>46</v>
      </c>
      <c r="H6" s="76">
        <f>VLOOKUP(D6,Driver!$D$4:$AC$78,15,0)</f>
        <v>0</v>
      </c>
      <c r="I6" s="76">
        <f>VLOOKUP(D6,Driver!$D$4:$AC$78,16,0)</f>
        <v>52</v>
      </c>
      <c r="J6" s="76">
        <f>VLOOKUP(D6,Driver!$D$4:$AC$78,17,0)</f>
        <v>0</v>
      </c>
      <c r="K6" s="76">
        <f>VLOOKUP(D6,Driver!$D$4:$AC$78,18,0)</f>
        <v>42</v>
      </c>
      <c r="L6" s="76">
        <f>VLOOKUP(D6,Driver!$D$4:$AC$78,19,0)</f>
        <v>0</v>
      </c>
      <c r="M6" s="76">
        <f>VLOOKUP(D6,Driver!$D$4:$AC$78,20,0)</f>
        <v>0</v>
      </c>
      <c r="N6" s="76">
        <f>VLOOKUP(D6,Driver!$D$4:$AC$78,21,0)</f>
        <v>0</v>
      </c>
      <c r="O6" s="76">
        <f>VLOOKUP(D6,Driver!$D$4:$AC$78,22,0)</f>
        <v>40</v>
      </c>
      <c r="P6" s="76">
        <f>VLOOKUP(D6,Driver!$D$4:$AC$78,23,0)</f>
        <v>0</v>
      </c>
      <c r="Q6" s="76">
        <f>VLOOKUP(D6,Driver!$D$4:$AC$78,24,0)</f>
        <v>48</v>
      </c>
      <c r="R6" s="76">
        <f>VLOOKUP(D6,Driver!$D$4:$AC$78,25,0)</f>
        <v>0</v>
      </c>
      <c r="S6" s="76">
        <f>VLOOKUP(D6,Driver!$D$4:$AC$78,26,0)</f>
        <v>38</v>
      </c>
      <c r="T6" s="29">
        <f t="shared" si="0"/>
        <v>2.7962962962962964E-2</v>
      </c>
      <c r="U6" s="29">
        <f t="shared" ref="U6:U69" si="6">(((F6+H6+J6)*60)+G6+I6+K6/3)/3600</f>
        <v>3.111111111111111E-2</v>
      </c>
      <c r="V6" s="31">
        <f t="shared" si="1"/>
        <v>0</v>
      </c>
      <c r="W6" s="29" t="e">
        <f t="shared" si="2"/>
        <v>#REF!</v>
      </c>
      <c r="X6" s="29" t="e">
        <f t="shared" si="3"/>
        <v>#REF!</v>
      </c>
      <c r="Y6" s="29" t="e">
        <f t="shared" si="4"/>
        <v>#REF!</v>
      </c>
      <c r="Z6" s="7" t="e">
        <f t="shared" si="5"/>
        <v>#REF!</v>
      </c>
      <c r="AA6" s="1" t="e">
        <f>VLOOKUP(C6,'Calculo Demanda'!#REF!,2,0)</f>
        <v>#REF!</v>
      </c>
    </row>
    <row r="7" spans="1:27" x14ac:dyDescent="0.25">
      <c r="A7" s="1">
        <v>4</v>
      </c>
      <c r="B7" s="5" t="s">
        <v>11</v>
      </c>
      <c r="C7" s="121" t="s">
        <v>256</v>
      </c>
      <c r="D7" s="5" t="s">
        <v>228</v>
      </c>
      <c r="E7" s="6" t="s">
        <v>93</v>
      </c>
      <c r="F7" s="76">
        <f>VLOOKUP(D7,Driver!$D$4:$AC$78,13,0)</f>
        <v>0</v>
      </c>
      <c r="G7" s="76">
        <f>VLOOKUP(D7,Driver!$D$4:$AC$78,14,0)</f>
        <v>10</v>
      </c>
      <c r="H7" s="76">
        <f>VLOOKUP(D7,Driver!$D$4:$AC$78,15,0)</f>
        <v>0</v>
      </c>
      <c r="I7" s="76">
        <f>VLOOKUP(D7,Driver!$D$4:$AC$78,16,0)</f>
        <v>9</v>
      </c>
      <c r="J7" s="76">
        <f>VLOOKUP(D7,Driver!$D$4:$AC$78,17,0)</f>
        <v>0</v>
      </c>
      <c r="K7" s="76">
        <f>VLOOKUP(D7,Driver!$D$4:$AC$78,18,0)</f>
        <v>10</v>
      </c>
      <c r="L7" s="76">
        <f>VLOOKUP(D7,Driver!$D$4:$AC$78,19,0)</f>
        <v>0</v>
      </c>
      <c r="M7" s="76">
        <f>VLOOKUP(D7,Driver!$D$4:$AC$78,20,0)</f>
        <v>0</v>
      </c>
      <c r="N7" s="76">
        <f>VLOOKUP(D7,Driver!$D$4:$AC$78,21,0)</f>
        <v>0</v>
      </c>
      <c r="O7" s="76">
        <f>VLOOKUP(D7,Driver!$D$4:$AC$78,22,0)</f>
        <v>45</v>
      </c>
      <c r="P7" s="76">
        <f>VLOOKUP(D7,Driver!$D$4:$AC$78,23,0)</f>
        <v>0</v>
      </c>
      <c r="Q7" s="76">
        <f>VLOOKUP(D7,Driver!$D$4:$AC$78,24,0)</f>
        <v>40</v>
      </c>
      <c r="R7" s="76">
        <f>VLOOKUP(D7,Driver!$D$4:$AC$78,25,0)</f>
        <v>0</v>
      </c>
      <c r="S7" s="76">
        <f>VLOOKUP(D7,Driver!$D$4:$AC$78,26,0)</f>
        <v>38</v>
      </c>
      <c r="T7" s="29">
        <f t="shared" si="0"/>
        <v>2.7129629629629632E-2</v>
      </c>
      <c r="U7" s="29">
        <f t="shared" si="6"/>
        <v>6.2037037037037035E-3</v>
      </c>
      <c r="V7" s="31">
        <f t="shared" si="1"/>
        <v>0</v>
      </c>
      <c r="W7" s="29" t="e">
        <f t="shared" si="2"/>
        <v>#REF!</v>
      </c>
      <c r="X7" s="29" t="e">
        <f t="shared" si="3"/>
        <v>#REF!</v>
      </c>
      <c r="Y7" s="29" t="e">
        <f t="shared" si="4"/>
        <v>#REF!</v>
      </c>
      <c r="Z7" s="7" t="e">
        <f t="shared" si="5"/>
        <v>#REF!</v>
      </c>
      <c r="AA7" s="1" t="e">
        <f>VLOOKUP(C7,'Calculo Demanda'!#REF!,2,0)</f>
        <v>#REF!</v>
      </c>
    </row>
    <row r="8" spans="1:27" x14ac:dyDescent="0.25">
      <c r="A8" s="1">
        <v>5</v>
      </c>
      <c r="B8" s="5" t="s">
        <v>11</v>
      </c>
      <c r="C8" s="121" t="s">
        <v>256</v>
      </c>
      <c r="D8" s="5" t="s">
        <v>244</v>
      </c>
      <c r="E8" s="6" t="s">
        <v>101</v>
      </c>
      <c r="F8" s="76">
        <f>VLOOKUP(D8,Driver!$D$4:$AC$78,13,0)</f>
        <v>1</v>
      </c>
      <c r="G8" s="76">
        <f>VLOOKUP(D8,Driver!$D$4:$AC$78,14,0)</f>
        <v>48</v>
      </c>
      <c r="H8" s="76">
        <f>VLOOKUP(D8,Driver!$D$4:$AC$78,15,0)</f>
        <v>1</v>
      </c>
      <c r="I8" s="76">
        <f>VLOOKUP(D8,Driver!$D$4:$AC$78,16,0)</f>
        <v>50</v>
      </c>
      <c r="J8" s="76">
        <f>VLOOKUP(D8,Driver!$D$4:$AC$78,17,0)</f>
        <v>1</v>
      </c>
      <c r="K8" s="76">
        <f>VLOOKUP(D8,Driver!$D$4:$AC$78,18,0)</f>
        <v>55</v>
      </c>
      <c r="L8" s="76">
        <f>VLOOKUP(D8,Driver!$D$4:$AC$78,19,0)</f>
        <v>0</v>
      </c>
      <c r="M8" s="76">
        <f>VLOOKUP(D8,Driver!$D$4:$AC$78,20,0)</f>
        <v>0</v>
      </c>
      <c r="N8" s="76">
        <f>VLOOKUP(D8,Driver!$D$4:$AC$78,21,0)</f>
        <v>0</v>
      </c>
      <c r="O8" s="76">
        <f>VLOOKUP(D8,Driver!$D$4:$AC$78,22,0)</f>
        <v>35</v>
      </c>
      <c r="P8" s="76">
        <f>VLOOKUP(D8,Driver!$D$4:$AC$78,23,0)</f>
        <v>0</v>
      </c>
      <c r="Q8" s="76">
        <f>VLOOKUP(D8,Driver!$D$4:$AC$78,24,0)</f>
        <v>37</v>
      </c>
      <c r="R8" s="76">
        <f>VLOOKUP(D8,Driver!$D$4:$AC$78,25,0)</f>
        <v>0</v>
      </c>
      <c r="S8" s="76">
        <f>VLOOKUP(D8,Driver!$D$4:$AC$78,26,0)</f>
        <v>32</v>
      </c>
      <c r="T8" s="29">
        <f t="shared" si="0"/>
        <v>2.2962962962962963E-2</v>
      </c>
      <c r="U8" s="29">
        <f t="shared" si="6"/>
        <v>8.2314814814814813E-2</v>
      </c>
      <c r="V8" s="31">
        <f t="shared" si="1"/>
        <v>0</v>
      </c>
      <c r="W8" s="29" t="e">
        <f t="shared" si="2"/>
        <v>#REF!</v>
      </c>
      <c r="X8" s="29" t="e">
        <f t="shared" si="3"/>
        <v>#REF!</v>
      </c>
      <c r="Y8" s="29" t="e">
        <f t="shared" si="4"/>
        <v>#REF!</v>
      </c>
      <c r="Z8" s="7" t="e">
        <f t="shared" si="5"/>
        <v>#REF!</v>
      </c>
      <c r="AA8" s="1" t="e">
        <f>VLOOKUP(C8,'Calculo Demanda'!#REF!,2,0)</f>
        <v>#REF!</v>
      </c>
    </row>
    <row r="9" spans="1:27" x14ac:dyDescent="0.25">
      <c r="A9" s="1">
        <v>6</v>
      </c>
      <c r="B9" s="5" t="s">
        <v>11</v>
      </c>
      <c r="C9" s="121" t="s">
        <v>255</v>
      </c>
      <c r="D9" s="5" t="s">
        <v>230</v>
      </c>
      <c r="E9" s="6" t="s">
        <v>68</v>
      </c>
      <c r="F9" s="76">
        <f>VLOOKUP(D9,Driver!$D$4:$AC$78,13,0)</f>
        <v>1</v>
      </c>
      <c r="G9" s="76">
        <f>VLOOKUP(D9,Driver!$D$4:$AC$78,14,0)</f>
        <v>3</v>
      </c>
      <c r="H9" s="76">
        <f>VLOOKUP(D9,Driver!$D$4:$AC$78,15,0)</f>
        <v>1</v>
      </c>
      <c r="I9" s="76">
        <f>VLOOKUP(D9,Driver!$D$4:$AC$78,16,0)</f>
        <v>6</v>
      </c>
      <c r="J9" s="76">
        <f>VLOOKUP(D9,Driver!$D$4:$AC$78,17,0)</f>
        <v>1</v>
      </c>
      <c r="K9" s="76">
        <f>VLOOKUP(D9,Driver!$D$4:$AC$78,18,0)</f>
        <v>10</v>
      </c>
      <c r="L9" s="76">
        <f>VLOOKUP(D9,Driver!$D$4:$AC$78,19,0)</f>
        <v>0</v>
      </c>
      <c r="M9" s="76">
        <f>VLOOKUP(D9,Driver!$D$4:$AC$78,20,0)</f>
        <v>0</v>
      </c>
      <c r="N9" s="76">
        <f>VLOOKUP(D9,Driver!$D$4:$AC$78,21,0)</f>
        <v>0</v>
      </c>
      <c r="O9" s="76">
        <f>VLOOKUP(D9,Driver!$D$4:$AC$78,22,0)</f>
        <v>43</v>
      </c>
      <c r="P9" s="76">
        <f>VLOOKUP(D9,Driver!$D$4:$AC$78,23,0)</f>
        <v>0</v>
      </c>
      <c r="Q9" s="76">
        <f>VLOOKUP(D9,Driver!$D$4:$AC$78,24,0)</f>
        <v>48</v>
      </c>
      <c r="R9" s="76">
        <f>VLOOKUP(D9,Driver!$D$4:$AC$78,25,0)</f>
        <v>0</v>
      </c>
      <c r="S9" s="76">
        <f>VLOOKUP(D9,Driver!$D$4:$AC$78,26,0)</f>
        <v>52</v>
      </c>
      <c r="T9" s="29">
        <f t="shared" si="0"/>
        <v>3.0092592592592591E-2</v>
      </c>
      <c r="U9" s="29">
        <f t="shared" si="6"/>
        <v>5.3425925925925925E-2</v>
      </c>
      <c r="V9" s="31">
        <f t="shared" si="1"/>
        <v>0</v>
      </c>
      <c r="W9" s="29" t="e">
        <f t="shared" si="2"/>
        <v>#REF!</v>
      </c>
      <c r="X9" s="29" t="e">
        <f t="shared" si="3"/>
        <v>#REF!</v>
      </c>
      <c r="Y9" s="29" t="e">
        <f t="shared" si="4"/>
        <v>#REF!</v>
      </c>
      <c r="Z9" s="7" t="e">
        <f t="shared" si="5"/>
        <v>#REF!</v>
      </c>
      <c r="AA9" s="1" t="e">
        <f>VLOOKUP(C9,'Calculo Demanda'!#REF!,2,0)</f>
        <v>#REF!</v>
      </c>
    </row>
    <row r="10" spans="1:27" x14ac:dyDescent="0.25">
      <c r="A10" s="1">
        <v>7</v>
      </c>
      <c r="B10" s="5" t="s">
        <v>11</v>
      </c>
      <c r="C10" s="121" t="s">
        <v>255</v>
      </c>
      <c r="D10" s="5" t="s">
        <v>245</v>
      </c>
      <c r="E10" s="6" t="s">
        <v>53</v>
      </c>
      <c r="F10" s="76">
        <f>VLOOKUP(D10,Driver!$D$4:$AC$78,13,0)</f>
        <v>0</v>
      </c>
      <c r="G10" s="76">
        <f>VLOOKUP(D10,Driver!$D$4:$AC$78,14,0)</f>
        <v>14</v>
      </c>
      <c r="H10" s="76">
        <f>VLOOKUP(D10,Driver!$D$4:$AC$78,15,0)</f>
        <v>0</v>
      </c>
      <c r="I10" s="76">
        <f>VLOOKUP(D10,Driver!$D$4:$AC$78,16,0)</f>
        <v>15</v>
      </c>
      <c r="J10" s="76">
        <f>VLOOKUP(D10,Driver!$D$4:$AC$78,17,0)</f>
        <v>0</v>
      </c>
      <c r="K10" s="76">
        <f>VLOOKUP(D10,Driver!$D$4:$AC$78,18,0)</f>
        <v>16</v>
      </c>
      <c r="L10" s="76">
        <f>VLOOKUP(D10,Driver!$D$4:$AC$78,19,0)</f>
        <v>0</v>
      </c>
      <c r="M10" s="76">
        <f>VLOOKUP(D10,Driver!$D$4:$AC$78,20,0)</f>
        <v>0</v>
      </c>
      <c r="N10" s="76">
        <f>VLOOKUP(D10,Driver!$D$4:$AC$78,21,0)</f>
        <v>0</v>
      </c>
      <c r="O10" s="76">
        <f>VLOOKUP(D10,Driver!$D$4:$AC$78,22,0)</f>
        <v>45</v>
      </c>
      <c r="P10" s="76">
        <f>VLOOKUP(D10,Driver!$D$4:$AC$78,23,0)</f>
        <v>0</v>
      </c>
      <c r="Q10" s="76">
        <f>VLOOKUP(D10,Driver!$D$4:$AC$78,24,0)</f>
        <v>35</v>
      </c>
      <c r="R10" s="76">
        <f>VLOOKUP(D10,Driver!$D$4:$AC$78,25,0)</f>
        <v>0</v>
      </c>
      <c r="S10" s="76">
        <f>VLOOKUP(D10,Driver!$D$4:$AC$78,26,0)</f>
        <v>41</v>
      </c>
      <c r="T10" s="29">
        <f t="shared" si="0"/>
        <v>2.6018518518518521E-2</v>
      </c>
      <c r="U10" s="29">
        <f t="shared" si="6"/>
        <v>9.5370370370370383E-3</v>
      </c>
      <c r="V10" s="31">
        <f t="shared" si="1"/>
        <v>0</v>
      </c>
      <c r="W10" s="29" t="e">
        <f t="shared" si="2"/>
        <v>#REF!</v>
      </c>
      <c r="X10" s="29" t="e">
        <f t="shared" si="3"/>
        <v>#REF!</v>
      </c>
      <c r="Y10" s="29" t="e">
        <f t="shared" si="4"/>
        <v>#REF!</v>
      </c>
      <c r="Z10" s="7" t="e">
        <f t="shared" si="5"/>
        <v>#REF!</v>
      </c>
      <c r="AA10" s="1" t="e">
        <f>VLOOKUP(C10,'Calculo Demanda'!#REF!,2,0)</f>
        <v>#REF!</v>
      </c>
    </row>
    <row r="11" spans="1:27" x14ac:dyDescent="0.25">
      <c r="A11" s="1">
        <v>8</v>
      </c>
      <c r="B11" s="5" t="s">
        <v>11</v>
      </c>
      <c r="C11" s="121" t="s">
        <v>255</v>
      </c>
      <c r="D11" s="5" t="s">
        <v>222</v>
      </c>
      <c r="E11" s="6" t="s">
        <v>103</v>
      </c>
      <c r="F11" s="76">
        <f>VLOOKUP(D11,Driver!$D$4:$AC$78,13,0)</f>
        <v>0</v>
      </c>
      <c r="G11" s="76">
        <f>VLOOKUP(D11,Driver!$D$4:$AC$78,14,0)</f>
        <v>10</v>
      </c>
      <c r="H11" s="76">
        <f>VLOOKUP(D11,Driver!$D$4:$AC$78,15,0)</f>
        <v>0</v>
      </c>
      <c r="I11" s="76">
        <f>VLOOKUP(D11,Driver!$D$4:$AC$78,16,0)</f>
        <v>10</v>
      </c>
      <c r="J11" s="76">
        <f>VLOOKUP(D11,Driver!$D$4:$AC$78,17,0)</f>
        <v>0</v>
      </c>
      <c r="K11" s="76">
        <f>VLOOKUP(D11,Driver!$D$4:$AC$78,18,0)</f>
        <v>11</v>
      </c>
      <c r="L11" s="76">
        <f>VLOOKUP(D11,Driver!$D$4:$AC$78,19,0)</f>
        <v>0</v>
      </c>
      <c r="M11" s="76">
        <f>VLOOKUP(D11,Driver!$D$4:$AC$78,20,0)</f>
        <v>0</v>
      </c>
      <c r="N11" s="76">
        <f>VLOOKUP(D11,Driver!$D$4:$AC$78,21,0)</f>
        <v>0</v>
      </c>
      <c r="O11" s="76">
        <f>VLOOKUP(D11,Driver!$D$4:$AC$78,22,0)</f>
        <v>53</v>
      </c>
      <c r="P11" s="76">
        <f>VLOOKUP(D11,Driver!$D$4:$AC$78,23,0)</f>
        <v>0</v>
      </c>
      <c r="Q11" s="76">
        <f>VLOOKUP(D11,Driver!$D$4:$AC$78,24,0)</f>
        <v>55</v>
      </c>
      <c r="R11" s="76">
        <f>VLOOKUP(D11,Driver!$D$4:$AC$78,25,0)</f>
        <v>1</v>
      </c>
      <c r="S11" s="76">
        <f>VLOOKUP(D11,Driver!$D$4:$AC$78,26,0)</f>
        <v>2</v>
      </c>
      <c r="T11" s="29">
        <f t="shared" si="0"/>
        <v>4.6851851851851846E-2</v>
      </c>
      <c r="U11" s="29">
        <f t="shared" si="6"/>
        <v>6.5740740740740742E-3</v>
      </c>
      <c r="V11" s="31">
        <f t="shared" si="1"/>
        <v>0</v>
      </c>
      <c r="W11" s="29" t="e">
        <f t="shared" si="2"/>
        <v>#REF!</v>
      </c>
      <c r="X11" s="29" t="e">
        <f t="shared" si="3"/>
        <v>#REF!</v>
      </c>
      <c r="Y11" s="29" t="e">
        <f t="shared" si="4"/>
        <v>#REF!</v>
      </c>
      <c r="Z11" s="7" t="e">
        <f t="shared" si="5"/>
        <v>#REF!</v>
      </c>
      <c r="AA11" s="1" t="e">
        <f>VLOOKUP(C11,'Calculo Demanda'!#REF!,2,0)</f>
        <v>#REF!</v>
      </c>
    </row>
    <row r="12" spans="1:27" x14ac:dyDescent="0.25">
      <c r="A12" s="1">
        <v>9</v>
      </c>
      <c r="B12" s="5" t="s">
        <v>11</v>
      </c>
      <c r="C12" s="121" t="s">
        <v>255</v>
      </c>
      <c r="D12" s="5" t="s">
        <v>213</v>
      </c>
      <c r="E12" s="6" t="s">
        <v>137</v>
      </c>
      <c r="F12" s="76">
        <f>VLOOKUP(D12,Driver!$D$4:$AC$78,13,0)</f>
        <v>1</v>
      </c>
      <c r="G12" s="76">
        <f>VLOOKUP(D12,Driver!$D$4:$AC$78,14,0)</f>
        <v>10</v>
      </c>
      <c r="H12" s="76">
        <f>VLOOKUP(D12,Driver!$D$4:$AC$78,15,0)</f>
        <v>1</v>
      </c>
      <c r="I12" s="76">
        <f>VLOOKUP(D12,Driver!$D$4:$AC$78,16,0)</f>
        <v>18</v>
      </c>
      <c r="J12" s="76">
        <f>VLOOKUP(D12,Driver!$D$4:$AC$78,17,0)</f>
        <v>1</v>
      </c>
      <c r="K12" s="76">
        <f>VLOOKUP(D12,Driver!$D$4:$AC$78,18,0)</f>
        <v>6</v>
      </c>
      <c r="L12" s="76">
        <f>VLOOKUP(D12,Driver!$D$4:$AC$78,19,0)</f>
        <v>0</v>
      </c>
      <c r="M12" s="76">
        <f>VLOOKUP(D12,Driver!$D$4:$AC$78,20,0)</f>
        <v>0</v>
      </c>
      <c r="N12" s="76">
        <f>VLOOKUP(D12,Driver!$D$4:$AC$78,21,0)</f>
        <v>2</v>
      </c>
      <c r="O12" s="76">
        <f>VLOOKUP(D12,Driver!$D$4:$AC$78,22,0)</f>
        <v>0</v>
      </c>
      <c r="P12" s="76">
        <f>VLOOKUP(D12,Driver!$D$4:$AC$78,23,0)</f>
        <v>1</v>
      </c>
      <c r="Q12" s="76">
        <f>VLOOKUP(D12,Driver!$D$4:$AC$78,24,0)</f>
        <v>54</v>
      </c>
      <c r="R12" s="76">
        <f>VLOOKUP(D12,Driver!$D$4:$AC$78,25,0)</f>
        <v>1</v>
      </c>
      <c r="S12" s="76">
        <f>VLOOKUP(D12,Driver!$D$4:$AC$78,26,0)</f>
        <v>51</v>
      </c>
      <c r="T12" s="29">
        <f t="shared" si="0"/>
        <v>8.638888888888889E-2</v>
      </c>
      <c r="U12" s="29">
        <f t="shared" si="6"/>
        <v>5.8333333333333334E-2</v>
      </c>
      <c r="V12" s="31">
        <f t="shared" si="1"/>
        <v>0</v>
      </c>
      <c r="W12" s="29" t="e">
        <f t="shared" si="2"/>
        <v>#REF!</v>
      </c>
      <c r="X12" s="29" t="e">
        <f t="shared" si="3"/>
        <v>#REF!</v>
      </c>
      <c r="Y12" s="29" t="e">
        <f t="shared" si="4"/>
        <v>#REF!</v>
      </c>
      <c r="Z12" s="7" t="e">
        <f t="shared" si="5"/>
        <v>#REF!</v>
      </c>
      <c r="AA12" s="1" t="e">
        <f>VLOOKUP(C12,'Calculo Demanda'!#REF!,2,0)</f>
        <v>#REF!</v>
      </c>
    </row>
    <row r="13" spans="1:27" x14ac:dyDescent="0.25">
      <c r="A13" s="1">
        <v>10</v>
      </c>
      <c r="B13" s="5" t="s">
        <v>11</v>
      </c>
      <c r="C13" s="121" t="s">
        <v>255</v>
      </c>
      <c r="D13" s="5" t="s">
        <v>218</v>
      </c>
      <c r="E13" s="6" t="s">
        <v>61</v>
      </c>
      <c r="F13" s="76">
        <f>VLOOKUP(D13,Driver!$D$4:$AC$78,13,0)</f>
        <v>0</v>
      </c>
      <c r="G13" s="76">
        <f>VLOOKUP(D13,Driver!$D$4:$AC$78,14,0)</f>
        <v>14</v>
      </c>
      <c r="H13" s="76">
        <f>VLOOKUP(D13,Driver!$D$4:$AC$78,15,0)</f>
        <v>0</v>
      </c>
      <c r="I13" s="76">
        <f>VLOOKUP(D13,Driver!$D$4:$AC$78,16,0)</f>
        <v>10</v>
      </c>
      <c r="J13" s="76">
        <f>VLOOKUP(D13,Driver!$D$4:$AC$78,17,0)</f>
        <v>0</v>
      </c>
      <c r="K13" s="76">
        <f>VLOOKUP(D13,Driver!$D$4:$AC$78,18,0)</f>
        <v>13</v>
      </c>
      <c r="L13" s="76">
        <f>VLOOKUP(D13,Driver!$D$4:$AC$78,19,0)</f>
        <v>0</v>
      </c>
      <c r="M13" s="76">
        <f>VLOOKUP(D13,Driver!$D$4:$AC$78,20,0)</f>
        <v>0</v>
      </c>
      <c r="N13" s="76">
        <f>VLOOKUP(D13,Driver!$D$4:$AC$78,21,0)</f>
        <v>0</v>
      </c>
      <c r="O13" s="76">
        <f>VLOOKUP(D13,Driver!$D$4:$AC$78,22,0)</f>
        <v>17</v>
      </c>
      <c r="P13" s="76">
        <f>VLOOKUP(D13,Driver!$D$4:$AC$78,23,0)</f>
        <v>0</v>
      </c>
      <c r="Q13" s="76">
        <f>VLOOKUP(D13,Driver!$D$4:$AC$78,24,0)</f>
        <v>10</v>
      </c>
      <c r="R13" s="76">
        <f>VLOOKUP(D13,Driver!$D$4:$AC$78,25,0)</f>
        <v>0</v>
      </c>
      <c r="S13" s="76">
        <f>VLOOKUP(D13,Driver!$D$4:$AC$78,26,0)</f>
        <v>9</v>
      </c>
      <c r="T13" s="29">
        <f t="shared" si="0"/>
        <v>8.3333333333333332E-3</v>
      </c>
      <c r="U13" s="29">
        <f t="shared" si="6"/>
        <v>7.8703703703703696E-3</v>
      </c>
      <c r="V13" s="31">
        <f t="shared" si="1"/>
        <v>0</v>
      </c>
      <c r="W13" s="29" t="e">
        <f t="shared" si="2"/>
        <v>#REF!</v>
      </c>
      <c r="X13" s="29" t="e">
        <f t="shared" si="3"/>
        <v>#REF!</v>
      </c>
      <c r="Y13" s="29" t="e">
        <f t="shared" si="4"/>
        <v>#REF!</v>
      </c>
      <c r="Z13" s="7" t="e">
        <f t="shared" si="5"/>
        <v>#REF!</v>
      </c>
      <c r="AA13" s="1" t="e">
        <f>VLOOKUP(C13,'Calculo Demanda'!#REF!,2,0)</f>
        <v>#REF!</v>
      </c>
    </row>
    <row r="14" spans="1:27" x14ac:dyDescent="0.25">
      <c r="A14" s="1">
        <v>11</v>
      </c>
      <c r="B14" s="5" t="s">
        <v>11</v>
      </c>
      <c r="C14" s="121" t="s">
        <v>255</v>
      </c>
      <c r="D14" s="5" t="s">
        <v>220</v>
      </c>
      <c r="E14" s="6" t="s">
        <v>148</v>
      </c>
      <c r="F14" s="76">
        <f>VLOOKUP(D14,Driver!$D$4:$AC$78,13,0)</f>
        <v>1</v>
      </c>
      <c r="G14" s="76">
        <f>VLOOKUP(D14,Driver!$D$4:$AC$78,14,0)</f>
        <v>35</v>
      </c>
      <c r="H14" s="76">
        <f>VLOOKUP(D14,Driver!$D$4:$AC$78,15,0)</f>
        <v>1</v>
      </c>
      <c r="I14" s="76">
        <f>VLOOKUP(D14,Driver!$D$4:$AC$78,16,0)</f>
        <v>40</v>
      </c>
      <c r="J14" s="76">
        <f>VLOOKUP(D14,Driver!$D$4:$AC$78,17,0)</f>
        <v>0</v>
      </c>
      <c r="K14" s="76">
        <f>VLOOKUP(D14,Driver!$D$4:$AC$78,18,0)</f>
        <v>28</v>
      </c>
      <c r="L14" s="76">
        <f>VLOOKUP(D14,Driver!$D$4:$AC$78,19,0)</f>
        <v>0</v>
      </c>
      <c r="M14" s="76">
        <f>VLOOKUP(D14,Driver!$D$4:$AC$78,20,0)</f>
        <v>0</v>
      </c>
      <c r="N14" s="76">
        <f>VLOOKUP(D14,Driver!$D$4:$AC$78,21,0)</f>
        <v>0</v>
      </c>
      <c r="O14" s="76">
        <f>VLOOKUP(D14,Driver!$D$4:$AC$78,22,0)</f>
        <v>38</v>
      </c>
      <c r="P14" s="76">
        <f>VLOOKUP(D14,Driver!$D$4:$AC$78,23,0)</f>
        <v>0</v>
      </c>
      <c r="Q14" s="76">
        <f>VLOOKUP(D14,Driver!$D$4:$AC$78,24,0)</f>
        <v>36</v>
      </c>
      <c r="R14" s="76">
        <f>VLOOKUP(D14,Driver!$D$4:$AC$78,25,0)</f>
        <v>0</v>
      </c>
      <c r="S14" s="76">
        <f>VLOOKUP(D14,Driver!$D$4:$AC$78,26,0)</f>
        <v>35</v>
      </c>
      <c r="T14" s="29">
        <f t="shared" si="0"/>
        <v>2.3796296296296298E-2</v>
      </c>
      <c r="U14" s="29">
        <f t="shared" si="6"/>
        <v>5.6759259259259259E-2</v>
      </c>
      <c r="V14" s="31">
        <f t="shared" si="1"/>
        <v>0</v>
      </c>
      <c r="W14" s="29" t="e">
        <f t="shared" si="2"/>
        <v>#REF!</v>
      </c>
      <c r="X14" s="29" t="e">
        <f t="shared" si="3"/>
        <v>#REF!</v>
      </c>
      <c r="Y14" s="29" t="e">
        <f t="shared" si="4"/>
        <v>#REF!</v>
      </c>
      <c r="Z14" s="7" t="e">
        <f t="shared" si="5"/>
        <v>#REF!</v>
      </c>
      <c r="AA14" s="1" t="e">
        <f>VLOOKUP(C14,'Calculo Demanda'!#REF!,2,0)</f>
        <v>#REF!</v>
      </c>
    </row>
    <row r="15" spans="1:27" x14ac:dyDescent="0.25">
      <c r="A15" s="1">
        <v>12</v>
      </c>
      <c r="B15" s="5" t="s">
        <v>11</v>
      </c>
      <c r="C15" s="121" t="s">
        <v>255</v>
      </c>
      <c r="D15" s="5" t="s">
        <v>215</v>
      </c>
      <c r="E15" s="6" t="s">
        <v>64</v>
      </c>
      <c r="F15" s="76">
        <f>VLOOKUP(D15,Driver!$D$4:$AC$78,13,0)</f>
        <v>0</v>
      </c>
      <c r="G15" s="76">
        <f>VLOOKUP(D15,Driver!$D$4:$AC$78,14,0)</f>
        <v>6</v>
      </c>
      <c r="H15" s="76">
        <f>VLOOKUP(D15,Driver!$D$4:$AC$78,15,0)</f>
        <v>0</v>
      </c>
      <c r="I15" s="76">
        <f>VLOOKUP(D15,Driver!$D$4:$AC$78,16,0)</f>
        <v>7</v>
      </c>
      <c r="J15" s="76">
        <f>VLOOKUP(D15,Driver!$D$4:$AC$78,17,0)</f>
        <v>0</v>
      </c>
      <c r="K15" s="76">
        <f>VLOOKUP(D15,Driver!$D$4:$AC$78,18,0)</f>
        <v>9</v>
      </c>
      <c r="L15" s="76">
        <f>VLOOKUP(D15,Driver!$D$4:$AC$78,19,0)</f>
        <v>0</v>
      </c>
      <c r="M15" s="76">
        <f>VLOOKUP(D15,Driver!$D$4:$AC$78,20,0)</f>
        <v>0</v>
      </c>
      <c r="N15" s="76">
        <f>VLOOKUP(D15,Driver!$D$4:$AC$78,21,0)</f>
        <v>0</v>
      </c>
      <c r="O15" s="76">
        <f>VLOOKUP(D15,Driver!$D$4:$AC$78,22,0)</f>
        <v>28</v>
      </c>
      <c r="P15" s="76">
        <f>VLOOKUP(D15,Driver!$D$4:$AC$78,23,0)</f>
        <v>0</v>
      </c>
      <c r="Q15" s="76">
        <f>VLOOKUP(D15,Driver!$D$4:$AC$78,24,0)</f>
        <v>30</v>
      </c>
      <c r="R15" s="76">
        <f>VLOOKUP(D15,Driver!$D$4:$AC$78,25,0)</f>
        <v>0</v>
      </c>
      <c r="S15" s="76">
        <f>VLOOKUP(D15,Driver!$D$4:$AC$78,26,0)</f>
        <v>26</v>
      </c>
      <c r="T15" s="29">
        <f t="shared" si="0"/>
        <v>1.8518518518518521E-2</v>
      </c>
      <c r="U15" s="29">
        <f t="shared" si="6"/>
        <v>4.4444444444444444E-3</v>
      </c>
      <c r="V15" s="31">
        <f t="shared" si="1"/>
        <v>0</v>
      </c>
      <c r="W15" s="29" t="e">
        <f t="shared" si="2"/>
        <v>#REF!</v>
      </c>
      <c r="X15" s="29" t="e">
        <f t="shared" si="3"/>
        <v>#REF!</v>
      </c>
      <c r="Y15" s="29" t="e">
        <f t="shared" si="4"/>
        <v>#REF!</v>
      </c>
      <c r="Z15" s="7" t="e">
        <f t="shared" si="5"/>
        <v>#REF!</v>
      </c>
      <c r="AA15" s="1" t="e">
        <f>VLOOKUP(C15,'Calculo Demanda'!#REF!,2,0)</f>
        <v>#REF!</v>
      </c>
    </row>
    <row r="16" spans="1:27" x14ac:dyDescent="0.25">
      <c r="A16" s="1">
        <v>13</v>
      </c>
      <c r="B16" s="5" t="s">
        <v>11</v>
      </c>
      <c r="C16" s="121" t="s">
        <v>255</v>
      </c>
      <c r="D16" s="5" t="s">
        <v>227</v>
      </c>
      <c r="E16" s="6" t="s">
        <v>66</v>
      </c>
      <c r="F16" s="76">
        <f>VLOOKUP(D16,Driver!$D$4:$AC$78,13,0)</f>
        <v>0</v>
      </c>
      <c r="G16" s="76">
        <f>VLOOKUP(D16,Driver!$D$4:$AC$78,14,0)</f>
        <v>20</v>
      </c>
      <c r="H16" s="76">
        <f>VLOOKUP(D16,Driver!$D$4:$AC$78,15,0)</f>
        <v>0</v>
      </c>
      <c r="I16" s="76">
        <f>VLOOKUP(D16,Driver!$D$4:$AC$78,16,0)</f>
        <v>18</v>
      </c>
      <c r="J16" s="76">
        <f>VLOOKUP(D16,Driver!$D$4:$AC$78,17,0)</f>
        <v>0</v>
      </c>
      <c r="K16" s="76">
        <f>VLOOKUP(D16,Driver!$D$4:$AC$78,18,0)</f>
        <v>21</v>
      </c>
      <c r="L16" s="76">
        <f>VLOOKUP(D16,Driver!$D$4:$AC$78,19,0)</f>
        <v>0</v>
      </c>
      <c r="M16" s="76">
        <f>VLOOKUP(D16,Driver!$D$4:$AC$78,20,0)</f>
        <v>0</v>
      </c>
      <c r="N16" s="76">
        <f>VLOOKUP(D16,Driver!$D$4:$AC$78,21,0)</f>
        <v>0</v>
      </c>
      <c r="O16" s="76">
        <f>VLOOKUP(D16,Driver!$D$4:$AC$78,22,0)</f>
        <v>24</v>
      </c>
      <c r="P16" s="76">
        <f>VLOOKUP(D16,Driver!$D$4:$AC$78,23,0)</f>
        <v>0</v>
      </c>
      <c r="Q16" s="76">
        <f>VLOOKUP(D16,Driver!$D$4:$AC$78,24,0)</f>
        <v>26</v>
      </c>
      <c r="R16" s="76">
        <f>VLOOKUP(D16,Driver!$D$4:$AC$78,25,0)</f>
        <v>0</v>
      </c>
      <c r="S16" s="76">
        <f>VLOOKUP(D16,Driver!$D$4:$AC$78,26,0)</f>
        <v>30</v>
      </c>
      <c r="T16" s="29">
        <f t="shared" si="0"/>
        <v>1.6666666666666666E-2</v>
      </c>
      <c r="U16" s="29">
        <f t="shared" si="6"/>
        <v>1.2500000000000001E-2</v>
      </c>
      <c r="V16" s="31">
        <f t="shared" si="1"/>
        <v>0</v>
      </c>
      <c r="W16" s="29" t="e">
        <f t="shared" si="2"/>
        <v>#REF!</v>
      </c>
      <c r="X16" s="29" t="e">
        <f t="shared" si="3"/>
        <v>#REF!</v>
      </c>
      <c r="Y16" s="29" t="e">
        <f t="shared" si="4"/>
        <v>#REF!</v>
      </c>
      <c r="Z16" s="7" t="e">
        <f t="shared" si="5"/>
        <v>#REF!</v>
      </c>
      <c r="AA16" s="1" t="e">
        <f>VLOOKUP(C16,'Calculo Demanda'!#REF!,2,0)</f>
        <v>#REF!</v>
      </c>
    </row>
    <row r="17" spans="1:27" x14ac:dyDescent="0.25">
      <c r="A17" s="1">
        <v>14</v>
      </c>
      <c r="B17" s="5" t="s">
        <v>11</v>
      </c>
      <c r="C17" s="121" t="s">
        <v>255</v>
      </c>
      <c r="D17" s="5" t="s">
        <v>214</v>
      </c>
      <c r="E17" s="6" t="s">
        <v>85</v>
      </c>
      <c r="F17" s="76">
        <f>VLOOKUP(D17,Driver!$D$4:$AC$78,13,0)</f>
        <v>0</v>
      </c>
      <c r="G17" s="76">
        <f>VLOOKUP(D17,Driver!$D$4:$AC$78,14,0)</f>
        <v>6</v>
      </c>
      <c r="H17" s="76">
        <f>VLOOKUP(D17,Driver!$D$4:$AC$78,15,0)</f>
        <v>0</v>
      </c>
      <c r="I17" s="76">
        <f>VLOOKUP(D17,Driver!$D$4:$AC$78,16,0)</f>
        <v>7</v>
      </c>
      <c r="J17" s="76">
        <f>VLOOKUP(D17,Driver!$D$4:$AC$78,17,0)</f>
        <v>0</v>
      </c>
      <c r="K17" s="76">
        <f>VLOOKUP(D17,Driver!$D$4:$AC$78,18,0)</f>
        <v>6</v>
      </c>
      <c r="L17" s="76">
        <f>VLOOKUP(D17,Driver!$D$4:$AC$78,19,0)</f>
        <v>0</v>
      </c>
      <c r="M17" s="76">
        <f>VLOOKUP(D17,Driver!$D$4:$AC$78,20,0)</f>
        <v>0</v>
      </c>
      <c r="N17" s="76">
        <f>VLOOKUP(D17,Driver!$D$4:$AC$78,21,0)</f>
        <v>0</v>
      </c>
      <c r="O17" s="76">
        <f>VLOOKUP(D17,Driver!$D$4:$AC$78,22,0)</f>
        <v>48</v>
      </c>
      <c r="P17" s="76">
        <f>VLOOKUP(D17,Driver!$D$4:$AC$78,23,0)</f>
        <v>1</v>
      </c>
      <c r="Q17" s="76">
        <f>VLOOKUP(D17,Driver!$D$4:$AC$78,24,0)</f>
        <v>0</v>
      </c>
      <c r="R17" s="76">
        <f>VLOOKUP(D17,Driver!$D$4:$AC$78,25,0)</f>
        <v>0</v>
      </c>
      <c r="S17" s="76">
        <f>VLOOKUP(D17,Driver!$D$4:$AC$78,26,0)</f>
        <v>56</v>
      </c>
      <c r="T17" s="29">
        <f t="shared" si="0"/>
        <v>3.5185185185185187E-2</v>
      </c>
      <c r="U17" s="29">
        <f t="shared" si="6"/>
        <v>4.1666666666666666E-3</v>
      </c>
      <c r="V17" s="31">
        <f t="shared" si="1"/>
        <v>0</v>
      </c>
      <c r="W17" s="29" t="e">
        <f t="shared" si="2"/>
        <v>#REF!</v>
      </c>
      <c r="X17" s="29" t="e">
        <f t="shared" si="3"/>
        <v>#REF!</v>
      </c>
      <c r="Y17" s="29" t="e">
        <f t="shared" si="4"/>
        <v>#REF!</v>
      </c>
      <c r="Z17" s="7" t="e">
        <f t="shared" si="5"/>
        <v>#REF!</v>
      </c>
      <c r="AA17" s="1" t="e">
        <f>VLOOKUP(C17,'Calculo Demanda'!#REF!,2,0)</f>
        <v>#REF!</v>
      </c>
    </row>
    <row r="18" spans="1:27" x14ac:dyDescent="0.25">
      <c r="A18" s="1">
        <v>15</v>
      </c>
      <c r="B18" s="5" t="s">
        <v>11</v>
      </c>
      <c r="C18" s="121" t="s">
        <v>255</v>
      </c>
      <c r="D18" s="5" t="s">
        <v>224</v>
      </c>
      <c r="E18" s="6" t="s">
        <v>96</v>
      </c>
      <c r="F18" s="76">
        <f>VLOOKUP(D18,Driver!$D$4:$AC$78,13,0)</f>
        <v>0</v>
      </c>
      <c r="G18" s="76">
        <f>VLOOKUP(D18,Driver!$D$4:$AC$78,14,0)</f>
        <v>6</v>
      </c>
      <c r="H18" s="76">
        <f>VLOOKUP(D18,Driver!$D$4:$AC$78,15,0)</f>
        <v>0</v>
      </c>
      <c r="I18" s="76">
        <f>VLOOKUP(D18,Driver!$D$4:$AC$78,16,0)</f>
        <v>7</v>
      </c>
      <c r="J18" s="76">
        <f>VLOOKUP(D18,Driver!$D$4:$AC$78,17,0)</f>
        <v>0</v>
      </c>
      <c r="K18" s="76">
        <f>VLOOKUP(D18,Driver!$D$4:$AC$78,18,0)</f>
        <v>9</v>
      </c>
      <c r="L18" s="76">
        <f>VLOOKUP(D18,Driver!$D$4:$AC$78,19,0)</f>
        <v>0</v>
      </c>
      <c r="M18" s="76">
        <f>VLOOKUP(D18,Driver!$D$4:$AC$78,20,0)</f>
        <v>0</v>
      </c>
      <c r="N18" s="76">
        <f>VLOOKUP(D18,Driver!$D$4:$AC$78,21,0)</f>
        <v>0</v>
      </c>
      <c r="O18" s="76">
        <f>VLOOKUP(D18,Driver!$D$4:$AC$78,22,0)</f>
        <v>54</v>
      </c>
      <c r="P18" s="76">
        <f>VLOOKUP(D18,Driver!$D$4:$AC$78,23,0)</f>
        <v>0</v>
      </c>
      <c r="Q18" s="76">
        <f>VLOOKUP(D18,Driver!$D$4:$AC$78,24,0)</f>
        <v>48</v>
      </c>
      <c r="R18" s="76">
        <f>VLOOKUP(D18,Driver!$D$4:$AC$78,25,0)</f>
        <v>0</v>
      </c>
      <c r="S18" s="76">
        <f>VLOOKUP(D18,Driver!$D$4:$AC$78,26,0)</f>
        <v>46</v>
      </c>
      <c r="T18" s="29">
        <f t="shared" si="0"/>
        <v>3.259259259259259E-2</v>
      </c>
      <c r="U18" s="29">
        <f t="shared" si="6"/>
        <v>4.4444444444444444E-3</v>
      </c>
      <c r="V18" s="31">
        <f t="shared" si="1"/>
        <v>0</v>
      </c>
      <c r="W18" s="29" t="e">
        <f t="shared" si="2"/>
        <v>#REF!</v>
      </c>
      <c r="X18" s="29" t="e">
        <f t="shared" si="3"/>
        <v>#REF!</v>
      </c>
      <c r="Y18" s="29" t="e">
        <f t="shared" si="4"/>
        <v>#REF!</v>
      </c>
      <c r="Z18" s="7" t="e">
        <f t="shared" si="5"/>
        <v>#REF!</v>
      </c>
      <c r="AA18" s="1" t="e">
        <f>VLOOKUP(C18,'Calculo Demanda'!#REF!,2,0)</f>
        <v>#REF!</v>
      </c>
    </row>
    <row r="19" spans="1:27" x14ac:dyDescent="0.25">
      <c r="A19" s="1">
        <v>16</v>
      </c>
      <c r="B19" s="5" t="s">
        <v>11</v>
      </c>
      <c r="C19" s="121" t="s">
        <v>255</v>
      </c>
      <c r="D19" s="5" t="s">
        <v>225</v>
      </c>
      <c r="E19" s="6" t="s">
        <v>97</v>
      </c>
      <c r="F19" s="76">
        <f>VLOOKUP(D19,Driver!$D$4:$AC$78,13,0)</f>
        <v>0</v>
      </c>
      <c r="G19" s="76">
        <f>VLOOKUP(D19,Driver!$D$4:$AC$78,14,0)</f>
        <v>25</v>
      </c>
      <c r="H19" s="76">
        <f>VLOOKUP(D19,Driver!$D$4:$AC$78,15,0)</f>
        <v>0</v>
      </c>
      <c r="I19" s="76">
        <f>VLOOKUP(D19,Driver!$D$4:$AC$78,16,0)</f>
        <v>24</v>
      </c>
      <c r="J19" s="76">
        <f>VLOOKUP(D19,Driver!$D$4:$AC$78,17,0)</f>
        <v>0</v>
      </c>
      <c r="K19" s="76">
        <f>VLOOKUP(D19,Driver!$D$4:$AC$78,18,0)</f>
        <v>26</v>
      </c>
      <c r="L19" s="76">
        <f>VLOOKUP(D19,Driver!$D$4:$AC$78,19,0)</f>
        <v>0</v>
      </c>
      <c r="M19" s="76">
        <f>VLOOKUP(D19,Driver!$D$4:$AC$78,20,0)</f>
        <v>0</v>
      </c>
      <c r="N19" s="76">
        <f>VLOOKUP(D19,Driver!$D$4:$AC$78,21,0)</f>
        <v>0</v>
      </c>
      <c r="O19" s="76">
        <f>VLOOKUP(D19,Driver!$D$4:$AC$78,22,0)</f>
        <v>12</v>
      </c>
      <c r="P19" s="76">
        <f>VLOOKUP(D19,Driver!$D$4:$AC$78,23,0)</f>
        <v>0</v>
      </c>
      <c r="Q19" s="76">
        <f>VLOOKUP(D19,Driver!$D$4:$AC$78,24,0)</f>
        <v>15</v>
      </c>
      <c r="R19" s="76">
        <f>VLOOKUP(D19,Driver!$D$4:$AC$78,25,0)</f>
        <v>0</v>
      </c>
      <c r="S19" s="76">
        <f>VLOOKUP(D19,Driver!$D$4:$AC$78,26,0)</f>
        <v>14</v>
      </c>
      <c r="T19" s="29">
        <f t="shared" si="0"/>
        <v>8.7962962962962968E-3</v>
      </c>
      <c r="U19" s="29">
        <f t="shared" si="6"/>
        <v>1.6018518518518519E-2</v>
      </c>
      <c r="V19" s="31">
        <f t="shared" si="1"/>
        <v>0</v>
      </c>
      <c r="W19" s="29" t="e">
        <f t="shared" si="2"/>
        <v>#REF!</v>
      </c>
      <c r="X19" s="29" t="e">
        <f t="shared" si="3"/>
        <v>#REF!</v>
      </c>
      <c r="Y19" s="29" t="e">
        <f t="shared" si="4"/>
        <v>#REF!</v>
      </c>
      <c r="Z19" s="7" t="e">
        <f t="shared" si="5"/>
        <v>#REF!</v>
      </c>
      <c r="AA19" s="1" t="e">
        <f>VLOOKUP(C19,'Calculo Demanda'!#REF!,2,0)</f>
        <v>#REF!</v>
      </c>
    </row>
    <row r="20" spans="1:27" x14ac:dyDescent="0.25">
      <c r="A20" s="1">
        <v>17</v>
      </c>
      <c r="B20" s="5" t="s">
        <v>11</v>
      </c>
      <c r="C20" s="121" t="s">
        <v>255</v>
      </c>
      <c r="D20" s="5" t="s">
        <v>226</v>
      </c>
      <c r="E20" s="6" t="s">
        <v>104</v>
      </c>
      <c r="F20" s="76">
        <f>VLOOKUP(D20,Driver!$D$4:$AC$78,13,0)</f>
        <v>0</v>
      </c>
      <c r="G20" s="76">
        <f>VLOOKUP(D20,Driver!$D$4:$AC$78,14,0)</f>
        <v>4</v>
      </c>
      <c r="H20" s="76">
        <f>VLOOKUP(D20,Driver!$D$4:$AC$78,15,0)</f>
        <v>0</v>
      </c>
      <c r="I20" s="76">
        <f>VLOOKUP(D20,Driver!$D$4:$AC$78,16,0)</f>
        <v>5</v>
      </c>
      <c r="J20" s="76">
        <f>VLOOKUP(D20,Driver!$D$4:$AC$78,17,0)</f>
        <v>0</v>
      </c>
      <c r="K20" s="76">
        <f>VLOOKUP(D20,Driver!$D$4:$AC$78,18,0)</f>
        <v>4</v>
      </c>
      <c r="L20" s="76">
        <f>VLOOKUP(D20,Driver!$D$4:$AC$78,19,0)</f>
        <v>0</v>
      </c>
      <c r="M20" s="76">
        <f>VLOOKUP(D20,Driver!$D$4:$AC$78,20,0)</f>
        <v>0</v>
      </c>
      <c r="N20" s="76">
        <f>VLOOKUP(D20,Driver!$D$4:$AC$78,21,0)</f>
        <v>0</v>
      </c>
      <c r="O20" s="76">
        <f>VLOOKUP(D20,Driver!$D$4:$AC$78,22,0)</f>
        <v>23</v>
      </c>
      <c r="P20" s="76">
        <f>VLOOKUP(D20,Driver!$D$4:$AC$78,23,0)</f>
        <v>0</v>
      </c>
      <c r="Q20" s="76">
        <f>VLOOKUP(D20,Driver!$D$4:$AC$78,24,0)</f>
        <v>28</v>
      </c>
      <c r="R20" s="76">
        <f>VLOOKUP(D20,Driver!$D$4:$AC$78,25,0)</f>
        <v>0</v>
      </c>
      <c r="S20" s="76">
        <f>VLOOKUP(D20,Driver!$D$4:$AC$78,26,0)</f>
        <v>23</v>
      </c>
      <c r="T20" s="29">
        <f t="shared" si="0"/>
        <v>1.6296296296296295E-2</v>
      </c>
      <c r="U20" s="29">
        <f t="shared" si="6"/>
        <v>2.8703703703703703E-3</v>
      </c>
      <c r="V20" s="31">
        <f t="shared" si="1"/>
        <v>0</v>
      </c>
      <c r="W20" s="29" t="e">
        <f t="shared" si="2"/>
        <v>#REF!</v>
      </c>
      <c r="X20" s="29" t="e">
        <f t="shared" si="3"/>
        <v>#REF!</v>
      </c>
      <c r="Y20" s="29" t="e">
        <f t="shared" si="4"/>
        <v>#REF!</v>
      </c>
      <c r="Z20" s="7" t="e">
        <f t="shared" si="5"/>
        <v>#REF!</v>
      </c>
      <c r="AA20" s="1" t="e">
        <f>VLOOKUP(C20,'Calculo Demanda'!#REF!,2,0)</f>
        <v>#REF!</v>
      </c>
    </row>
    <row r="21" spans="1:27" x14ac:dyDescent="0.25">
      <c r="A21" s="1">
        <v>18</v>
      </c>
      <c r="B21" s="5" t="s">
        <v>11</v>
      </c>
      <c r="C21" s="121" t="s">
        <v>255</v>
      </c>
      <c r="D21" s="5" t="s">
        <v>247</v>
      </c>
      <c r="E21" s="6" t="s">
        <v>106</v>
      </c>
      <c r="F21" s="76">
        <f>VLOOKUP(D21,Driver!$D$4:$AC$78,13,0)</f>
        <v>2</v>
      </c>
      <c r="G21" s="76">
        <f>VLOOKUP(D21,Driver!$D$4:$AC$78,14,0)</f>
        <v>0</v>
      </c>
      <c r="H21" s="76">
        <f>VLOOKUP(D21,Driver!$D$4:$AC$78,15,0)</f>
        <v>0</v>
      </c>
      <c r="I21" s="76">
        <f>VLOOKUP(D21,Driver!$D$4:$AC$78,16,0)</f>
        <v>56</v>
      </c>
      <c r="J21" s="76">
        <f>VLOOKUP(D21,Driver!$D$4:$AC$78,17,0)</f>
        <v>1</v>
      </c>
      <c r="K21" s="76">
        <f>VLOOKUP(D21,Driver!$D$4:$AC$78,18,0)</f>
        <v>49</v>
      </c>
      <c r="L21" s="76">
        <f>VLOOKUP(D21,Driver!$D$4:$AC$78,19,0)</f>
        <v>0</v>
      </c>
      <c r="M21" s="76">
        <f>VLOOKUP(D21,Driver!$D$4:$AC$78,20,0)</f>
        <v>0</v>
      </c>
      <c r="N21" s="76">
        <f>VLOOKUP(D21,Driver!$D$4:$AC$78,21,0)</f>
        <v>0</v>
      </c>
      <c r="O21" s="76">
        <f>VLOOKUP(D21,Driver!$D$4:$AC$78,22,0)</f>
        <v>95</v>
      </c>
      <c r="P21" s="76">
        <f>VLOOKUP(D21,Driver!$D$4:$AC$78,23,0)</f>
        <v>0</v>
      </c>
      <c r="Q21" s="76">
        <f>VLOOKUP(D21,Driver!$D$4:$AC$78,24,0)</f>
        <v>50</v>
      </c>
      <c r="R21" s="76">
        <f>VLOOKUP(D21,Driver!$D$4:$AC$78,25,0)</f>
        <v>0</v>
      </c>
      <c r="S21" s="76">
        <f>VLOOKUP(D21,Driver!$D$4:$AC$78,26,0)</f>
        <v>45</v>
      </c>
      <c r="T21" s="29">
        <f t="shared" si="0"/>
        <v>4.4444444444444446E-2</v>
      </c>
      <c r="U21" s="29">
        <f t="shared" si="6"/>
        <v>7.0092592592592595E-2</v>
      </c>
      <c r="V21" s="31">
        <f t="shared" si="1"/>
        <v>0</v>
      </c>
      <c r="W21" s="29" t="e">
        <f t="shared" si="2"/>
        <v>#REF!</v>
      </c>
      <c r="X21" s="29" t="e">
        <f t="shared" si="3"/>
        <v>#REF!</v>
      </c>
      <c r="Y21" s="29" t="e">
        <f t="shared" si="4"/>
        <v>#REF!</v>
      </c>
      <c r="Z21" s="7" t="e">
        <f t="shared" si="5"/>
        <v>#REF!</v>
      </c>
      <c r="AA21" s="1" t="e">
        <f>VLOOKUP(C21,'Calculo Demanda'!#REF!,2,0)</f>
        <v>#REF!</v>
      </c>
    </row>
    <row r="22" spans="1:27" x14ac:dyDescent="0.25">
      <c r="A22" s="1">
        <v>19</v>
      </c>
      <c r="B22" s="5" t="s">
        <v>11</v>
      </c>
      <c r="C22" s="121" t="s">
        <v>255</v>
      </c>
      <c r="D22" s="5" t="s">
        <v>217</v>
      </c>
      <c r="E22" s="6" t="s">
        <v>110</v>
      </c>
      <c r="F22" s="76">
        <f>VLOOKUP(D22,Driver!$D$4:$AC$78,13,0)</f>
        <v>0</v>
      </c>
      <c r="G22" s="76">
        <f>VLOOKUP(D22,Driver!$D$4:$AC$78,14,0)</f>
        <v>11</v>
      </c>
      <c r="H22" s="76">
        <f>VLOOKUP(D22,Driver!$D$4:$AC$78,15,0)</f>
        <v>0</v>
      </c>
      <c r="I22" s="76">
        <f>VLOOKUP(D22,Driver!$D$4:$AC$78,16,0)</f>
        <v>12</v>
      </c>
      <c r="J22" s="76">
        <f>VLOOKUP(D22,Driver!$D$4:$AC$78,17,0)</f>
        <v>0</v>
      </c>
      <c r="K22" s="76">
        <f>VLOOKUP(D22,Driver!$D$4:$AC$78,18,0)</f>
        <v>10</v>
      </c>
      <c r="L22" s="76">
        <f>VLOOKUP(D22,Driver!$D$4:$AC$78,19,0)</f>
        <v>0</v>
      </c>
      <c r="M22" s="76">
        <f>VLOOKUP(D22,Driver!$D$4:$AC$78,20,0)</f>
        <v>0</v>
      </c>
      <c r="N22" s="76">
        <f>VLOOKUP(D22,Driver!$D$4:$AC$78,21,0)</f>
        <v>0</v>
      </c>
      <c r="O22" s="76">
        <f>VLOOKUP(D22,Driver!$D$4:$AC$78,22,0)</f>
        <v>19</v>
      </c>
      <c r="P22" s="76">
        <f>VLOOKUP(D22,Driver!$D$4:$AC$78,23,0)</f>
        <v>0</v>
      </c>
      <c r="Q22" s="76">
        <f>VLOOKUP(D22,Driver!$D$4:$AC$78,24,0)</f>
        <v>22</v>
      </c>
      <c r="R22" s="76">
        <f>VLOOKUP(D22,Driver!$D$4:$AC$78,25,0)</f>
        <v>0</v>
      </c>
      <c r="S22" s="76">
        <f>VLOOKUP(D22,Driver!$D$4:$AC$78,26,0)</f>
        <v>17</v>
      </c>
      <c r="T22" s="29">
        <f t="shared" si="0"/>
        <v>1.2962962962962963E-2</v>
      </c>
      <c r="U22" s="29">
        <f t="shared" si="6"/>
        <v>7.3148148148148148E-3</v>
      </c>
      <c r="V22" s="31">
        <f t="shared" si="1"/>
        <v>0</v>
      </c>
      <c r="W22" s="29" t="e">
        <f t="shared" si="2"/>
        <v>#REF!</v>
      </c>
      <c r="X22" s="29" t="e">
        <f t="shared" si="3"/>
        <v>#REF!</v>
      </c>
      <c r="Y22" s="29" t="e">
        <f t="shared" si="4"/>
        <v>#REF!</v>
      </c>
      <c r="Z22" s="7" t="e">
        <f t="shared" si="5"/>
        <v>#REF!</v>
      </c>
      <c r="AA22" s="1" t="e">
        <f>VLOOKUP(C22,'Calculo Demanda'!#REF!,2,0)</f>
        <v>#REF!</v>
      </c>
    </row>
    <row r="23" spans="1:27" x14ac:dyDescent="0.25">
      <c r="A23" s="1">
        <v>20</v>
      </c>
      <c r="B23" s="5" t="s">
        <v>11</v>
      </c>
      <c r="C23" s="121" t="s">
        <v>255</v>
      </c>
      <c r="D23" s="5" t="s">
        <v>223</v>
      </c>
      <c r="E23" s="6" t="s">
        <v>112</v>
      </c>
      <c r="F23" s="76">
        <f>VLOOKUP(D23,Driver!$D$4:$AC$78,13,0)</f>
        <v>0</v>
      </c>
      <c r="G23" s="76">
        <f>VLOOKUP(D23,Driver!$D$4:$AC$78,14,0)</f>
        <v>26</v>
      </c>
      <c r="H23" s="76">
        <f>VLOOKUP(D23,Driver!$D$4:$AC$78,15,0)</f>
        <v>0</v>
      </c>
      <c r="I23" s="76">
        <f>VLOOKUP(D23,Driver!$D$4:$AC$78,16,0)</f>
        <v>29</v>
      </c>
      <c r="J23" s="76">
        <f>VLOOKUP(D23,Driver!$D$4:$AC$78,17,0)</f>
        <v>0</v>
      </c>
      <c r="K23" s="76">
        <f>VLOOKUP(D23,Driver!$D$4:$AC$78,18,0)</f>
        <v>26</v>
      </c>
      <c r="L23" s="76">
        <f>VLOOKUP(D23,Driver!$D$4:$AC$78,19,0)</f>
        <v>0</v>
      </c>
      <c r="M23" s="76">
        <f>VLOOKUP(D23,Driver!$D$4:$AC$78,20,0)</f>
        <v>0</v>
      </c>
      <c r="N23" s="76">
        <f>VLOOKUP(D23,Driver!$D$4:$AC$78,21,0)</f>
        <v>0</v>
      </c>
      <c r="O23" s="76">
        <f>VLOOKUP(D23,Driver!$D$4:$AC$78,22,0)</f>
        <v>42</v>
      </c>
      <c r="P23" s="76">
        <f>VLOOKUP(D23,Driver!$D$4:$AC$78,23,0)</f>
        <v>0</v>
      </c>
      <c r="Q23" s="76">
        <f>VLOOKUP(D23,Driver!$D$4:$AC$78,24,0)</f>
        <v>45</v>
      </c>
      <c r="R23" s="76">
        <f>VLOOKUP(D23,Driver!$D$4:$AC$78,25,0)</f>
        <v>0</v>
      </c>
      <c r="S23" s="76">
        <f>VLOOKUP(D23,Driver!$D$4:$AC$78,26,0)</f>
        <v>48</v>
      </c>
      <c r="T23" s="29">
        <f t="shared" si="0"/>
        <v>2.8611111111111111E-2</v>
      </c>
      <c r="U23" s="29">
        <f t="shared" si="6"/>
        <v>1.7685185185185186E-2</v>
      </c>
      <c r="V23" s="31">
        <f t="shared" si="1"/>
        <v>0</v>
      </c>
      <c r="W23" s="29" t="e">
        <f t="shared" si="2"/>
        <v>#REF!</v>
      </c>
      <c r="X23" s="29" t="e">
        <f t="shared" si="3"/>
        <v>#REF!</v>
      </c>
      <c r="Y23" s="29" t="e">
        <f t="shared" si="4"/>
        <v>#REF!</v>
      </c>
      <c r="Z23" s="7" t="e">
        <f t="shared" si="5"/>
        <v>#REF!</v>
      </c>
      <c r="AA23" s="1" t="e">
        <f>VLOOKUP(C23,'Calculo Demanda'!#REF!,2,0)</f>
        <v>#REF!</v>
      </c>
    </row>
    <row r="24" spans="1:27" x14ac:dyDescent="0.25">
      <c r="A24" s="1">
        <v>21</v>
      </c>
      <c r="B24" s="5" t="s">
        <v>11</v>
      </c>
      <c r="C24" s="121" t="s">
        <v>255</v>
      </c>
      <c r="D24" s="5" t="s">
        <v>221</v>
      </c>
      <c r="E24" s="6" t="s">
        <v>139</v>
      </c>
      <c r="F24" s="76">
        <f>VLOOKUP(D24,Driver!$D$4:$AC$78,13,0)</f>
        <v>0</v>
      </c>
      <c r="G24" s="76">
        <f>VLOOKUP(D24,Driver!$D$4:$AC$78,14,0)</f>
        <v>8</v>
      </c>
      <c r="H24" s="76">
        <f>VLOOKUP(D24,Driver!$D$4:$AC$78,15,0)</f>
        <v>0</v>
      </c>
      <c r="I24" s="76">
        <f>VLOOKUP(D24,Driver!$D$4:$AC$78,16,0)</f>
        <v>7</v>
      </c>
      <c r="J24" s="76">
        <f>VLOOKUP(D24,Driver!$D$4:$AC$78,17,0)</f>
        <v>0</v>
      </c>
      <c r="K24" s="76">
        <f>VLOOKUP(D24,Driver!$D$4:$AC$78,18,0)</f>
        <v>8</v>
      </c>
      <c r="L24" s="76">
        <f>VLOOKUP(D24,Driver!$D$4:$AC$78,19,0)</f>
        <v>0</v>
      </c>
      <c r="M24" s="76">
        <f>VLOOKUP(D24,Driver!$D$4:$AC$78,20,0)</f>
        <v>0</v>
      </c>
      <c r="N24" s="76">
        <f>VLOOKUP(D24,Driver!$D$4:$AC$78,21,0)</f>
        <v>0</v>
      </c>
      <c r="O24" s="76">
        <f>VLOOKUP(D24,Driver!$D$4:$AC$78,22,0)</f>
        <v>26</v>
      </c>
      <c r="P24" s="76">
        <f>VLOOKUP(D24,Driver!$D$4:$AC$78,23,0)</f>
        <v>0</v>
      </c>
      <c r="Q24" s="76">
        <f>VLOOKUP(D24,Driver!$D$4:$AC$78,24,0)</f>
        <v>23</v>
      </c>
      <c r="R24" s="76">
        <f>VLOOKUP(D24,Driver!$D$4:$AC$78,25,0)</f>
        <v>0</v>
      </c>
      <c r="S24" s="76">
        <f>VLOOKUP(D24,Driver!$D$4:$AC$78,26,0)</f>
        <v>21</v>
      </c>
      <c r="T24" s="29">
        <f t="shared" si="0"/>
        <v>1.5555555555555555E-2</v>
      </c>
      <c r="U24" s="29">
        <f t="shared" si="6"/>
        <v>4.9074074074074081E-3</v>
      </c>
      <c r="V24" s="31">
        <f t="shared" si="1"/>
        <v>0</v>
      </c>
      <c r="W24" s="29" t="e">
        <f t="shared" si="2"/>
        <v>#REF!</v>
      </c>
      <c r="X24" s="29" t="e">
        <f t="shared" si="3"/>
        <v>#REF!</v>
      </c>
      <c r="Y24" s="29" t="e">
        <f t="shared" si="4"/>
        <v>#REF!</v>
      </c>
      <c r="Z24" s="7" t="e">
        <f t="shared" si="5"/>
        <v>#REF!</v>
      </c>
      <c r="AA24" s="1" t="e">
        <f>VLOOKUP(C24,'Calculo Demanda'!#REF!,2,0)</f>
        <v>#REF!</v>
      </c>
    </row>
    <row r="25" spans="1:27" x14ac:dyDescent="0.25">
      <c r="A25" s="1">
        <v>22</v>
      </c>
      <c r="B25" s="5" t="s">
        <v>11</v>
      </c>
      <c r="C25" s="121" t="s">
        <v>255</v>
      </c>
      <c r="D25" s="5" t="s">
        <v>176</v>
      </c>
      <c r="E25" s="6" t="s">
        <v>63</v>
      </c>
      <c r="F25" s="76">
        <f>VLOOKUP(D25,Driver!$D$4:$AC$78,13,0)</f>
        <v>1</v>
      </c>
      <c r="G25" s="76">
        <f>VLOOKUP(D25,Driver!$D$4:$AC$78,14,0)</f>
        <v>34</v>
      </c>
      <c r="H25" s="76">
        <f>VLOOKUP(D25,Driver!$D$4:$AC$78,15,0)</f>
        <v>1</v>
      </c>
      <c r="I25" s="76">
        <f>VLOOKUP(D25,Driver!$D$4:$AC$78,16,0)</f>
        <v>29</v>
      </c>
      <c r="J25" s="76">
        <f>VLOOKUP(D25,Driver!$D$4:$AC$78,17,0)</f>
        <v>1</v>
      </c>
      <c r="K25" s="76">
        <f>VLOOKUP(D25,Driver!$D$4:$AC$78,18,0)</f>
        <v>26</v>
      </c>
      <c r="L25" s="76">
        <f>VLOOKUP(D25,Driver!$D$4:$AC$78,19,0)</f>
        <v>0</v>
      </c>
      <c r="M25" s="76">
        <f>VLOOKUP(D25,Driver!$D$4:$AC$78,20,0)</f>
        <v>0</v>
      </c>
      <c r="N25" s="76">
        <f>VLOOKUP(D25,Driver!$D$4:$AC$78,21,0)</f>
        <v>0</v>
      </c>
      <c r="O25" s="76">
        <f>VLOOKUP(D25,Driver!$D$4:$AC$78,22,0)</f>
        <v>20</v>
      </c>
      <c r="P25" s="76">
        <f>VLOOKUP(D25,Driver!$D$4:$AC$78,23,0)</f>
        <v>0</v>
      </c>
      <c r="Q25" s="76">
        <f>VLOOKUP(D25,Driver!$D$4:$AC$78,24,0)</f>
        <v>23</v>
      </c>
      <c r="R25" s="76">
        <f>VLOOKUP(D25,Driver!$D$4:$AC$78,25,0)</f>
        <v>0</v>
      </c>
      <c r="S25" s="76">
        <f>VLOOKUP(D25,Driver!$D$4:$AC$78,26,0)</f>
        <v>19</v>
      </c>
      <c r="T25" s="29">
        <f t="shared" si="0"/>
        <v>1.3703703703703704E-2</v>
      </c>
      <c r="U25" s="29">
        <f t="shared" si="6"/>
        <v>6.9907407407407404E-2</v>
      </c>
      <c r="V25" s="31">
        <f t="shared" si="1"/>
        <v>0</v>
      </c>
      <c r="W25" s="29" t="e">
        <f t="shared" si="2"/>
        <v>#REF!</v>
      </c>
      <c r="X25" s="29" t="e">
        <f t="shared" si="3"/>
        <v>#REF!</v>
      </c>
      <c r="Y25" s="29" t="e">
        <f t="shared" si="4"/>
        <v>#REF!</v>
      </c>
      <c r="Z25" s="7" t="e">
        <f t="shared" si="5"/>
        <v>#REF!</v>
      </c>
      <c r="AA25" s="1" t="e">
        <f>VLOOKUP(C25,'Calculo Demanda'!#REF!,2,0)</f>
        <v>#REF!</v>
      </c>
    </row>
    <row r="26" spans="1:27" x14ac:dyDescent="0.25">
      <c r="A26" s="1">
        <v>23</v>
      </c>
      <c r="B26" s="5" t="s">
        <v>11</v>
      </c>
      <c r="C26" s="121" t="s">
        <v>254</v>
      </c>
      <c r="D26" s="5" t="s">
        <v>212</v>
      </c>
      <c r="E26" s="6" t="s">
        <v>60</v>
      </c>
      <c r="F26" s="76">
        <f>VLOOKUP(D26,Driver!$D$4:$AC$78,13,0)</f>
        <v>0</v>
      </c>
      <c r="G26" s="76">
        <f>VLOOKUP(D26,Driver!$D$4:$AC$78,14,0)</f>
        <v>15</v>
      </c>
      <c r="H26" s="76">
        <f>VLOOKUP(D26,Driver!$D$4:$AC$78,15,0)</f>
        <v>0</v>
      </c>
      <c r="I26" s="76">
        <f>VLOOKUP(D26,Driver!$D$4:$AC$78,16,0)</f>
        <v>20</v>
      </c>
      <c r="J26" s="76">
        <f>VLOOKUP(D26,Driver!$D$4:$AC$78,17,0)</f>
        <v>0</v>
      </c>
      <c r="K26" s="76">
        <f>VLOOKUP(D26,Driver!$D$4:$AC$78,18,0)</f>
        <v>17</v>
      </c>
      <c r="L26" s="76">
        <f>VLOOKUP(D26,Driver!$D$4:$AC$78,19,0)</f>
        <v>0</v>
      </c>
      <c r="M26" s="76">
        <f>VLOOKUP(D26,Driver!$D$4:$AC$78,20,0)</f>
        <v>0</v>
      </c>
      <c r="N26" s="76">
        <f>VLOOKUP(D26,Driver!$D$4:$AC$78,21,0)</f>
        <v>1</v>
      </c>
      <c r="O26" s="76">
        <f>VLOOKUP(D26,Driver!$D$4:$AC$78,22,0)</f>
        <v>44</v>
      </c>
      <c r="P26" s="76">
        <f>VLOOKUP(D26,Driver!$D$4:$AC$78,23,0)</f>
        <v>1</v>
      </c>
      <c r="Q26" s="76">
        <f>VLOOKUP(D26,Driver!$D$4:$AC$78,24,0)</f>
        <v>48</v>
      </c>
      <c r="R26" s="76">
        <f>VLOOKUP(D26,Driver!$D$4:$AC$78,25,0)</f>
        <v>1</v>
      </c>
      <c r="S26" s="76">
        <f>VLOOKUP(D26,Driver!$D$4:$AC$78,26,0)</f>
        <v>40</v>
      </c>
      <c r="T26" s="29">
        <f t="shared" si="0"/>
        <v>7.9259259259259252E-2</v>
      </c>
      <c r="U26" s="29">
        <f t="shared" si="6"/>
        <v>1.1296296296296296E-2</v>
      </c>
      <c r="V26" s="31">
        <f t="shared" si="1"/>
        <v>0</v>
      </c>
      <c r="W26" s="29" t="e">
        <f t="shared" si="2"/>
        <v>#REF!</v>
      </c>
      <c r="X26" s="29" t="e">
        <f t="shared" si="3"/>
        <v>#REF!</v>
      </c>
      <c r="Y26" s="29" t="e">
        <f t="shared" si="4"/>
        <v>#REF!</v>
      </c>
      <c r="Z26" s="7" t="e">
        <f t="shared" si="5"/>
        <v>#REF!</v>
      </c>
      <c r="AA26" s="1" t="e">
        <f>VLOOKUP(C26,'Calculo Demanda'!#REF!,2,0)</f>
        <v>#REF!</v>
      </c>
    </row>
    <row r="27" spans="1:27" x14ac:dyDescent="0.25">
      <c r="A27" s="1">
        <v>24</v>
      </c>
      <c r="B27" s="5" t="s">
        <v>11</v>
      </c>
      <c r="C27" s="121" t="s">
        <v>254</v>
      </c>
      <c r="D27" s="5" t="s">
        <v>216</v>
      </c>
      <c r="E27" s="6" t="s">
        <v>133</v>
      </c>
      <c r="F27" s="76">
        <f>VLOOKUP(D27,Driver!$D$4:$AC$78,13,0)</f>
        <v>0</v>
      </c>
      <c r="G27" s="76">
        <f>VLOOKUP(D27,Driver!$D$4:$AC$78,14,0)</f>
        <v>8</v>
      </c>
      <c r="H27" s="76">
        <f>VLOOKUP(D27,Driver!$D$4:$AC$78,15,0)</f>
        <v>0</v>
      </c>
      <c r="I27" s="76">
        <f>VLOOKUP(D27,Driver!$D$4:$AC$78,16,0)</f>
        <v>10</v>
      </c>
      <c r="J27" s="76">
        <f>VLOOKUP(D27,Driver!$D$4:$AC$78,17,0)</f>
        <v>0</v>
      </c>
      <c r="K27" s="76">
        <f>VLOOKUP(D27,Driver!$D$4:$AC$78,18,0)</f>
        <v>9</v>
      </c>
      <c r="L27" s="76">
        <f>VLOOKUP(D27,Driver!$D$4:$AC$78,19,0)</f>
        <v>0</v>
      </c>
      <c r="M27" s="76">
        <f>VLOOKUP(D27,Driver!$D$4:$AC$78,20,0)</f>
        <v>0</v>
      </c>
      <c r="N27" s="76">
        <f>VLOOKUP(D27,Driver!$D$4:$AC$78,21,0)</f>
        <v>0</v>
      </c>
      <c r="O27" s="76">
        <f>VLOOKUP(D27,Driver!$D$4:$AC$78,22,0)</f>
        <v>18</v>
      </c>
      <c r="P27" s="76">
        <f>VLOOKUP(D27,Driver!$D$4:$AC$78,23,0)</f>
        <v>0</v>
      </c>
      <c r="Q27" s="76">
        <f>VLOOKUP(D27,Driver!$D$4:$AC$78,24,0)</f>
        <v>22</v>
      </c>
      <c r="R27" s="76">
        <f>VLOOKUP(D27,Driver!$D$4:$AC$78,25,0)</f>
        <v>0</v>
      </c>
      <c r="S27" s="76">
        <f>VLOOKUP(D27,Driver!$D$4:$AC$78,26,0)</f>
        <v>20</v>
      </c>
      <c r="T27" s="29">
        <f t="shared" si="0"/>
        <v>1.2962962962962963E-2</v>
      </c>
      <c r="U27" s="29">
        <f t="shared" si="6"/>
        <v>5.8333333333333336E-3</v>
      </c>
      <c r="V27" s="31">
        <f t="shared" si="1"/>
        <v>0</v>
      </c>
      <c r="W27" s="29" t="e">
        <f t="shared" si="2"/>
        <v>#REF!</v>
      </c>
      <c r="X27" s="29" t="e">
        <f t="shared" si="3"/>
        <v>#REF!</v>
      </c>
      <c r="Y27" s="29" t="e">
        <f t="shared" si="4"/>
        <v>#REF!</v>
      </c>
      <c r="Z27" s="7" t="e">
        <f t="shared" si="5"/>
        <v>#REF!</v>
      </c>
      <c r="AA27" s="1" t="e">
        <f>VLOOKUP(C27,'Calculo Demanda'!#REF!,2,0)</f>
        <v>#REF!</v>
      </c>
    </row>
    <row r="28" spans="1:27" x14ac:dyDescent="0.25">
      <c r="A28" s="1">
        <v>25</v>
      </c>
      <c r="B28" s="5" t="s">
        <v>11</v>
      </c>
      <c r="C28" s="121" t="s">
        <v>254</v>
      </c>
      <c r="D28" s="5" t="s">
        <v>209</v>
      </c>
      <c r="E28" s="6" t="s">
        <v>99</v>
      </c>
      <c r="F28" s="76">
        <f>VLOOKUP(D28,Driver!$D$4:$AC$78,13,0)</f>
        <v>0</v>
      </c>
      <c r="G28" s="76">
        <f>VLOOKUP(D28,Driver!$D$4:$AC$78,14,0)</f>
        <v>5</v>
      </c>
      <c r="H28" s="76">
        <f>VLOOKUP(D28,Driver!$D$4:$AC$78,15,0)</f>
        <v>0</v>
      </c>
      <c r="I28" s="76">
        <f>VLOOKUP(D28,Driver!$D$4:$AC$78,16,0)</f>
        <v>6</v>
      </c>
      <c r="J28" s="76">
        <f>VLOOKUP(D28,Driver!$D$4:$AC$78,17,0)</f>
        <v>0</v>
      </c>
      <c r="K28" s="76">
        <f>VLOOKUP(D28,Driver!$D$4:$AC$78,18,0)</f>
        <v>6</v>
      </c>
      <c r="L28" s="76">
        <f>VLOOKUP(D28,Driver!$D$4:$AC$78,19,0)</f>
        <v>0</v>
      </c>
      <c r="M28" s="76">
        <f>VLOOKUP(D28,Driver!$D$4:$AC$78,20,0)</f>
        <v>0</v>
      </c>
      <c r="N28" s="76">
        <f>VLOOKUP(D28,Driver!$D$4:$AC$78,21,0)</f>
        <v>0</v>
      </c>
      <c r="O28" s="76">
        <f>VLOOKUP(D28,Driver!$D$4:$AC$78,22,0)</f>
        <v>17</v>
      </c>
      <c r="P28" s="76">
        <f>VLOOKUP(D28,Driver!$D$4:$AC$78,23,0)</f>
        <v>0</v>
      </c>
      <c r="Q28" s="76">
        <f>VLOOKUP(D28,Driver!$D$4:$AC$78,24,0)</f>
        <v>18</v>
      </c>
      <c r="R28" s="76">
        <f>VLOOKUP(D28,Driver!$D$4:$AC$78,25,0)</f>
        <v>0</v>
      </c>
      <c r="S28" s="76">
        <f>VLOOKUP(D28,Driver!$D$4:$AC$78,26,0)</f>
        <v>16</v>
      </c>
      <c r="T28" s="29">
        <f t="shared" si="0"/>
        <v>1.1203703703703704E-2</v>
      </c>
      <c r="U28" s="29">
        <f t="shared" si="6"/>
        <v>3.6111111111111109E-3</v>
      </c>
      <c r="V28" s="31">
        <f t="shared" si="1"/>
        <v>0</v>
      </c>
      <c r="W28" s="29" t="e">
        <f t="shared" si="2"/>
        <v>#REF!</v>
      </c>
      <c r="X28" s="29" t="e">
        <f t="shared" si="3"/>
        <v>#REF!</v>
      </c>
      <c r="Y28" s="29" t="e">
        <f t="shared" si="4"/>
        <v>#REF!</v>
      </c>
      <c r="Z28" s="7" t="e">
        <f t="shared" si="5"/>
        <v>#REF!</v>
      </c>
      <c r="AA28" s="1" t="e">
        <f>VLOOKUP(C28,'Calculo Demanda'!#REF!,2,0)</f>
        <v>#REF!</v>
      </c>
    </row>
    <row r="29" spans="1:27" x14ac:dyDescent="0.25">
      <c r="A29" s="1">
        <v>26</v>
      </c>
      <c r="B29" s="5" t="s">
        <v>11</v>
      </c>
      <c r="C29" s="121" t="s">
        <v>254</v>
      </c>
      <c r="D29" s="5" t="s">
        <v>210</v>
      </c>
      <c r="E29" s="6" t="s">
        <v>100</v>
      </c>
      <c r="F29" s="76">
        <f>VLOOKUP(D29,Driver!$D$4:$AC$78,13,0)</f>
        <v>0</v>
      </c>
      <c r="G29" s="76">
        <f>VLOOKUP(D29,Driver!$D$4:$AC$78,14,0)</f>
        <v>3</v>
      </c>
      <c r="H29" s="76">
        <f>VLOOKUP(D29,Driver!$D$4:$AC$78,15,0)</f>
        <v>0</v>
      </c>
      <c r="I29" s="76">
        <f>VLOOKUP(D29,Driver!$D$4:$AC$78,16,0)</f>
        <v>4</v>
      </c>
      <c r="J29" s="76">
        <f>VLOOKUP(D29,Driver!$D$4:$AC$78,17,0)</f>
        <v>0</v>
      </c>
      <c r="K29" s="76">
        <f>VLOOKUP(D29,Driver!$D$4:$AC$78,18,0)</f>
        <v>3</v>
      </c>
      <c r="L29" s="76">
        <f>VLOOKUP(D29,Driver!$D$4:$AC$78,19,0)</f>
        <v>0</v>
      </c>
      <c r="M29" s="76">
        <f>VLOOKUP(D29,Driver!$D$4:$AC$78,20,0)</f>
        <v>0</v>
      </c>
      <c r="N29" s="76">
        <f>VLOOKUP(D29,Driver!$D$4:$AC$78,21,0)</f>
        <v>0</v>
      </c>
      <c r="O29" s="76">
        <f>VLOOKUP(D29,Driver!$D$4:$AC$78,22,0)</f>
        <v>32</v>
      </c>
      <c r="P29" s="76">
        <f>VLOOKUP(D29,Driver!$D$4:$AC$78,23,0)</f>
        <v>0</v>
      </c>
      <c r="Q29" s="76">
        <f>VLOOKUP(D29,Driver!$D$4:$AC$78,24,0)</f>
        <v>38</v>
      </c>
      <c r="R29" s="76">
        <f>VLOOKUP(D29,Driver!$D$4:$AC$78,25,0)</f>
        <v>0</v>
      </c>
      <c r="S29" s="76">
        <f>VLOOKUP(D29,Driver!$D$4:$AC$78,26,0)</f>
        <v>40</v>
      </c>
      <c r="T29" s="29">
        <f t="shared" si="0"/>
        <v>2.3148148148148147E-2</v>
      </c>
      <c r="U29" s="29">
        <f t="shared" si="6"/>
        <v>2.2222222222222222E-3</v>
      </c>
      <c r="V29" s="31">
        <f t="shared" si="1"/>
        <v>0</v>
      </c>
      <c r="W29" s="29" t="e">
        <f t="shared" si="2"/>
        <v>#REF!</v>
      </c>
      <c r="X29" s="29" t="e">
        <f t="shared" si="3"/>
        <v>#REF!</v>
      </c>
      <c r="Y29" s="29" t="e">
        <f t="shared" si="4"/>
        <v>#REF!</v>
      </c>
      <c r="Z29" s="7" t="e">
        <f t="shared" si="5"/>
        <v>#REF!</v>
      </c>
      <c r="AA29" s="1" t="e">
        <f>VLOOKUP(C29,'Calculo Demanda'!#REF!,2,0)</f>
        <v>#REF!</v>
      </c>
    </row>
    <row r="30" spans="1:27" x14ac:dyDescent="0.25">
      <c r="A30" s="1">
        <v>27</v>
      </c>
      <c r="B30" s="5" t="s">
        <v>11</v>
      </c>
      <c r="C30" s="121" t="s">
        <v>254</v>
      </c>
      <c r="D30" s="5" t="s">
        <v>207</v>
      </c>
      <c r="E30" s="6" t="s">
        <v>109</v>
      </c>
      <c r="F30" s="76">
        <f>VLOOKUP(D30,Driver!$D$4:$AC$78,13,0)</f>
        <v>0</v>
      </c>
      <c r="G30" s="76">
        <f>VLOOKUP(D30,Driver!$D$4:$AC$78,14,0)</f>
        <v>35</v>
      </c>
      <c r="H30" s="76">
        <f>VLOOKUP(D30,Driver!$D$4:$AC$78,15,0)</f>
        <v>0</v>
      </c>
      <c r="I30" s="76">
        <f>VLOOKUP(D30,Driver!$D$4:$AC$78,16,0)</f>
        <v>28</v>
      </c>
      <c r="J30" s="76">
        <f>VLOOKUP(D30,Driver!$D$4:$AC$78,17,0)</f>
        <v>0</v>
      </c>
      <c r="K30" s="76">
        <f>VLOOKUP(D30,Driver!$D$4:$AC$78,18,0)</f>
        <v>31</v>
      </c>
      <c r="L30" s="76">
        <f>VLOOKUP(D30,Driver!$D$4:$AC$78,19,0)</f>
        <v>0</v>
      </c>
      <c r="M30" s="76">
        <f>VLOOKUP(D30,Driver!$D$4:$AC$78,20,0)</f>
        <v>0</v>
      </c>
      <c r="N30" s="76">
        <f>VLOOKUP(D30,Driver!$D$4:$AC$78,21,0)</f>
        <v>0</v>
      </c>
      <c r="O30" s="76">
        <f>VLOOKUP(D30,Driver!$D$4:$AC$78,22,0)</f>
        <v>40</v>
      </c>
      <c r="P30" s="76">
        <f>VLOOKUP(D30,Driver!$D$4:$AC$78,23,0)</f>
        <v>0</v>
      </c>
      <c r="Q30" s="76">
        <f>VLOOKUP(D30,Driver!$D$4:$AC$78,24,0)</f>
        <v>43</v>
      </c>
      <c r="R30" s="76">
        <f>VLOOKUP(D30,Driver!$D$4:$AC$78,25,0)</f>
        <v>0</v>
      </c>
      <c r="S30" s="76">
        <f>VLOOKUP(D30,Driver!$D$4:$AC$78,26,0)</f>
        <v>45</v>
      </c>
      <c r="T30" s="29">
        <f t="shared" si="0"/>
        <v>2.7222222222222221E-2</v>
      </c>
      <c r="U30" s="29">
        <f t="shared" si="6"/>
        <v>2.0370370370370369E-2</v>
      </c>
      <c r="V30" s="31">
        <f t="shared" si="1"/>
        <v>0</v>
      </c>
      <c r="W30" s="29" t="e">
        <f t="shared" si="2"/>
        <v>#REF!</v>
      </c>
      <c r="X30" s="29" t="e">
        <f t="shared" si="3"/>
        <v>#REF!</v>
      </c>
      <c r="Y30" s="29" t="e">
        <f t="shared" si="4"/>
        <v>#REF!</v>
      </c>
      <c r="Z30" s="7" t="e">
        <f t="shared" si="5"/>
        <v>#REF!</v>
      </c>
      <c r="AA30" s="1" t="e">
        <f>VLOOKUP(C30,'Calculo Demanda'!#REF!,2,0)</f>
        <v>#REF!</v>
      </c>
    </row>
    <row r="31" spans="1:27" x14ac:dyDescent="0.25">
      <c r="A31" s="1">
        <v>28</v>
      </c>
      <c r="B31" s="5" t="s">
        <v>11</v>
      </c>
      <c r="C31" s="121" t="s">
        <v>254</v>
      </c>
      <c r="D31" s="5" t="s">
        <v>211</v>
      </c>
      <c r="E31" s="6" t="s">
        <v>108</v>
      </c>
      <c r="F31" s="76">
        <f>VLOOKUP(D31,Driver!$D$4:$AC$78,13,0)</f>
        <v>1</v>
      </c>
      <c r="G31" s="76">
        <f>VLOOKUP(D31,Driver!$D$4:$AC$78,14,0)</f>
        <v>45</v>
      </c>
      <c r="H31" s="76">
        <f>VLOOKUP(D31,Driver!$D$4:$AC$78,15,0)</f>
        <v>1</v>
      </c>
      <c r="I31" s="76">
        <f>VLOOKUP(D31,Driver!$D$4:$AC$78,16,0)</f>
        <v>36</v>
      </c>
      <c r="J31" s="76">
        <f>VLOOKUP(D31,Driver!$D$4:$AC$78,17,0)</f>
        <v>1</v>
      </c>
      <c r="K31" s="76">
        <f>VLOOKUP(D31,Driver!$D$4:$AC$78,18,0)</f>
        <v>41</v>
      </c>
      <c r="L31" s="76">
        <f>VLOOKUP(D31,Driver!$D$4:$AC$78,19,0)</f>
        <v>0</v>
      </c>
      <c r="M31" s="76">
        <f>VLOOKUP(D31,Driver!$D$4:$AC$78,20,0)</f>
        <v>0</v>
      </c>
      <c r="N31" s="76">
        <f>VLOOKUP(D31,Driver!$D$4:$AC$78,21,0)</f>
        <v>1</v>
      </c>
      <c r="O31" s="76">
        <f>VLOOKUP(D31,Driver!$D$4:$AC$78,22,0)</f>
        <v>20</v>
      </c>
      <c r="P31" s="76">
        <f>VLOOKUP(D31,Driver!$D$4:$AC$78,23,0)</f>
        <v>1</v>
      </c>
      <c r="Q31" s="76">
        <f>VLOOKUP(D31,Driver!$D$4:$AC$78,24,0)</f>
        <v>23</v>
      </c>
      <c r="R31" s="76">
        <f>VLOOKUP(D31,Driver!$D$4:$AC$78,25,0)</f>
        <v>1</v>
      </c>
      <c r="S31" s="76">
        <f>VLOOKUP(D31,Driver!$D$4:$AC$78,26,0)</f>
        <v>26</v>
      </c>
      <c r="T31" s="29">
        <f t="shared" si="0"/>
        <v>6.4351851851851855E-2</v>
      </c>
      <c r="U31" s="29">
        <f t="shared" si="6"/>
        <v>7.6296296296296306E-2</v>
      </c>
      <c r="V31" s="31">
        <f t="shared" si="1"/>
        <v>0</v>
      </c>
      <c r="W31" s="29" t="e">
        <f t="shared" si="2"/>
        <v>#REF!</v>
      </c>
      <c r="X31" s="29" t="e">
        <f t="shared" si="3"/>
        <v>#REF!</v>
      </c>
      <c r="Y31" s="29" t="e">
        <f t="shared" si="4"/>
        <v>#REF!</v>
      </c>
      <c r="Z31" s="7" t="e">
        <f t="shared" si="5"/>
        <v>#REF!</v>
      </c>
      <c r="AA31" s="1" t="e">
        <f>VLOOKUP(C31,'Calculo Demanda'!#REF!,2,0)</f>
        <v>#REF!</v>
      </c>
    </row>
    <row r="32" spans="1:27" x14ac:dyDescent="0.25">
      <c r="A32" s="1">
        <v>29</v>
      </c>
      <c r="B32" s="5" t="s">
        <v>11</v>
      </c>
      <c r="C32" s="121" t="s">
        <v>254</v>
      </c>
      <c r="D32" s="5" t="s">
        <v>206</v>
      </c>
      <c r="E32" s="6" t="s">
        <v>114</v>
      </c>
      <c r="F32" s="76">
        <f>VLOOKUP(D32,Driver!$D$4:$AC$78,13,0)</f>
        <v>0</v>
      </c>
      <c r="G32" s="76">
        <f>VLOOKUP(D32,Driver!$D$4:$AC$78,14,0)</f>
        <v>16</v>
      </c>
      <c r="H32" s="76">
        <f>VLOOKUP(D32,Driver!$D$4:$AC$78,15,0)</f>
        <v>0</v>
      </c>
      <c r="I32" s="76">
        <f>VLOOKUP(D32,Driver!$D$4:$AC$78,16,0)</f>
        <v>19</v>
      </c>
      <c r="J32" s="76">
        <f>VLOOKUP(D32,Driver!$D$4:$AC$78,17,0)</f>
        <v>0</v>
      </c>
      <c r="K32" s="76">
        <f>VLOOKUP(D32,Driver!$D$4:$AC$78,18,0)</f>
        <v>17</v>
      </c>
      <c r="L32" s="76">
        <f>VLOOKUP(D32,Driver!$D$4:$AC$78,19,0)</f>
        <v>0</v>
      </c>
      <c r="M32" s="76">
        <f>VLOOKUP(D32,Driver!$D$4:$AC$78,20,0)</f>
        <v>0</v>
      </c>
      <c r="N32" s="76">
        <f>VLOOKUP(D32,Driver!$D$4:$AC$78,21,0)</f>
        <v>0</v>
      </c>
      <c r="O32" s="76">
        <f>VLOOKUP(D32,Driver!$D$4:$AC$78,22,0)</f>
        <v>45</v>
      </c>
      <c r="P32" s="76">
        <f>VLOOKUP(D32,Driver!$D$4:$AC$78,23,0)</f>
        <v>0</v>
      </c>
      <c r="Q32" s="76">
        <f>VLOOKUP(D32,Driver!$D$4:$AC$78,24,0)</f>
        <v>47</v>
      </c>
      <c r="R32" s="76">
        <f>VLOOKUP(D32,Driver!$D$4:$AC$78,25,0)</f>
        <v>0</v>
      </c>
      <c r="S32" s="76">
        <f>VLOOKUP(D32,Driver!$D$4:$AC$78,26,0)</f>
        <v>50</v>
      </c>
      <c r="T32" s="29">
        <f t="shared" si="0"/>
        <v>3.0185185185185186E-2</v>
      </c>
      <c r="U32" s="29">
        <f t="shared" si="6"/>
        <v>1.1296296296296296E-2</v>
      </c>
      <c r="V32" s="31">
        <f t="shared" si="1"/>
        <v>0</v>
      </c>
      <c r="W32" s="29" t="e">
        <f t="shared" si="2"/>
        <v>#REF!</v>
      </c>
      <c r="X32" s="29" t="e">
        <f t="shared" si="3"/>
        <v>#REF!</v>
      </c>
      <c r="Y32" s="29" t="e">
        <f t="shared" si="4"/>
        <v>#REF!</v>
      </c>
      <c r="Z32" s="7" t="e">
        <f t="shared" si="5"/>
        <v>#REF!</v>
      </c>
      <c r="AA32" s="1" t="e">
        <f>VLOOKUP(C32,'Calculo Demanda'!#REF!,2,0)</f>
        <v>#REF!</v>
      </c>
    </row>
    <row r="33" spans="1:27" x14ac:dyDescent="0.25">
      <c r="A33" s="1">
        <v>30</v>
      </c>
      <c r="B33" s="5" t="s">
        <v>11</v>
      </c>
      <c r="C33" s="121" t="s">
        <v>253</v>
      </c>
      <c r="D33" s="5" t="s">
        <v>208</v>
      </c>
      <c r="E33" s="6" t="s">
        <v>145</v>
      </c>
      <c r="F33" s="76">
        <f>VLOOKUP(D33,Driver!$D$4:$AC$78,13,0)</f>
        <v>0</v>
      </c>
      <c r="G33" s="76">
        <f>VLOOKUP(D33,Driver!$D$4:$AC$78,14,0)</f>
        <v>7</v>
      </c>
      <c r="H33" s="76">
        <f>VLOOKUP(D33,Driver!$D$4:$AC$78,15,0)</f>
        <v>0</v>
      </c>
      <c r="I33" s="76">
        <f>VLOOKUP(D33,Driver!$D$4:$AC$78,16,0)</f>
        <v>7</v>
      </c>
      <c r="J33" s="76">
        <f>VLOOKUP(D33,Driver!$D$4:$AC$78,17,0)</f>
        <v>0</v>
      </c>
      <c r="K33" s="76">
        <f>VLOOKUP(D33,Driver!$D$4:$AC$78,18,0)</f>
        <v>6</v>
      </c>
      <c r="L33" s="76">
        <f>VLOOKUP(D33,Driver!$D$4:$AC$78,19,0)</f>
        <v>0</v>
      </c>
      <c r="M33" s="76">
        <f>VLOOKUP(D33,Driver!$D$4:$AC$78,20,0)</f>
        <v>0</v>
      </c>
      <c r="N33" s="76">
        <f>VLOOKUP(D33,Driver!$D$4:$AC$78,21,0)</f>
        <v>0</v>
      </c>
      <c r="O33" s="76">
        <f>VLOOKUP(D33,Driver!$D$4:$AC$78,22,0)</f>
        <v>8</v>
      </c>
      <c r="P33" s="76">
        <f>VLOOKUP(D33,Driver!$D$4:$AC$78,23,0)</f>
        <v>0</v>
      </c>
      <c r="Q33" s="76">
        <f>VLOOKUP(D33,Driver!$D$4:$AC$78,24,0)</f>
        <v>8</v>
      </c>
      <c r="R33" s="76">
        <f>VLOOKUP(D33,Driver!$D$4:$AC$78,25,0)</f>
        <v>0</v>
      </c>
      <c r="S33" s="76">
        <f>VLOOKUP(D33,Driver!$D$4:$AC$78,26,0)</f>
        <v>9</v>
      </c>
      <c r="T33" s="29">
        <f t="shared" si="0"/>
        <v>5.2777777777777779E-3</v>
      </c>
      <c r="U33" s="29">
        <f t="shared" si="6"/>
        <v>4.4444444444444444E-3</v>
      </c>
      <c r="V33" s="31">
        <f t="shared" si="1"/>
        <v>0</v>
      </c>
      <c r="W33" s="29" t="e">
        <f t="shared" si="2"/>
        <v>#REF!</v>
      </c>
      <c r="X33" s="29" t="e">
        <f t="shared" si="3"/>
        <v>#REF!</v>
      </c>
      <c r="Y33" s="29" t="e">
        <f t="shared" si="4"/>
        <v>#REF!</v>
      </c>
      <c r="Z33" s="7" t="e">
        <f t="shared" si="5"/>
        <v>#REF!</v>
      </c>
      <c r="AA33" s="1" t="e">
        <f>VLOOKUP(C33,'Calculo Demanda'!#REF!,2,0)</f>
        <v>#REF!</v>
      </c>
    </row>
    <row r="34" spans="1:27" x14ac:dyDescent="0.25">
      <c r="A34" s="1">
        <v>31</v>
      </c>
      <c r="B34" s="5" t="s">
        <v>11</v>
      </c>
      <c r="C34" s="121" t="s">
        <v>253</v>
      </c>
      <c r="D34" s="5" t="s">
        <v>248</v>
      </c>
      <c r="E34" s="3" t="s">
        <v>152</v>
      </c>
      <c r="F34" s="76">
        <f>VLOOKUP(D34,Driver!$D$4:$AC$78,13,0)</f>
        <v>0</v>
      </c>
      <c r="G34" s="76">
        <f>VLOOKUP(D34,Driver!$D$4:$AC$78,14,0)</f>
        <v>36</v>
      </c>
      <c r="H34" s="76">
        <f>VLOOKUP(D34,Driver!$D$4:$AC$78,15,0)</f>
        <v>0</v>
      </c>
      <c r="I34" s="76">
        <f>VLOOKUP(D34,Driver!$D$4:$AC$78,16,0)</f>
        <v>38</v>
      </c>
      <c r="J34" s="76">
        <f>VLOOKUP(D34,Driver!$D$4:$AC$78,17,0)</f>
        <v>0</v>
      </c>
      <c r="K34" s="76">
        <f>VLOOKUP(D34,Driver!$D$4:$AC$78,18,0)</f>
        <v>4</v>
      </c>
      <c r="L34" s="76">
        <f>VLOOKUP(D34,Driver!$D$4:$AC$78,19,0)</f>
        <v>0</v>
      </c>
      <c r="M34" s="76">
        <f>VLOOKUP(D34,Driver!$D$4:$AC$78,20,0)</f>
        <v>0</v>
      </c>
      <c r="N34" s="76">
        <f>VLOOKUP(D34,Driver!$D$4:$AC$78,21,0)</f>
        <v>0</v>
      </c>
      <c r="O34" s="76">
        <f>VLOOKUP(D34,Driver!$D$4:$AC$78,22,0)</f>
        <v>40</v>
      </c>
      <c r="P34" s="76">
        <f>VLOOKUP(D34,Driver!$D$4:$AC$78,23,0)</f>
        <v>0</v>
      </c>
      <c r="Q34" s="76">
        <f>VLOOKUP(D34,Driver!$D$4:$AC$78,24,0)</f>
        <v>36</v>
      </c>
      <c r="R34" s="76">
        <f>VLOOKUP(D34,Driver!$D$4:$AC$78,25,0)</f>
        <v>0</v>
      </c>
      <c r="S34" s="76">
        <f>VLOOKUP(D34,Driver!$D$4:$AC$78,26,0)</f>
        <v>45</v>
      </c>
      <c r="T34" s="29">
        <f t="shared" si="0"/>
        <v>2.5277777777777777E-2</v>
      </c>
      <c r="U34" s="29">
        <f t="shared" si="6"/>
        <v>2.0925925925925924E-2</v>
      </c>
      <c r="V34" s="31">
        <f t="shared" si="1"/>
        <v>0</v>
      </c>
      <c r="W34" s="29" t="e">
        <f t="shared" si="2"/>
        <v>#REF!</v>
      </c>
      <c r="X34" s="29" t="e">
        <f t="shared" si="3"/>
        <v>#REF!</v>
      </c>
      <c r="Y34" s="29" t="e">
        <f t="shared" si="4"/>
        <v>#REF!</v>
      </c>
      <c r="Z34" s="7" t="e">
        <f t="shared" si="5"/>
        <v>#REF!</v>
      </c>
      <c r="AA34" s="1" t="e">
        <f>VLOOKUP(C34,'Calculo Demanda'!#REF!,2,0)</f>
        <v>#REF!</v>
      </c>
    </row>
    <row r="35" spans="1:27" x14ac:dyDescent="0.25">
      <c r="A35" s="1">
        <v>32</v>
      </c>
      <c r="B35" s="5" t="s">
        <v>11</v>
      </c>
      <c r="C35" s="121" t="s">
        <v>253</v>
      </c>
      <c r="D35" s="5" t="s">
        <v>172</v>
      </c>
      <c r="E35" s="6" t="s">
        <v>44</v>
      </c>
      <c r="F35" s="76">
        <f>VLOOKUP(D35,Driver!$D$4:$AC$78,13,0)</f>
        <v>0</v>
      </c>
      <c r="G35" s="76">
        <f>VLOOKUP(D35,Driver!$D$4:$AC$78,14,0)</f>
        <v>38</v>
      </c>
      <c r="H35" s="76">
        <f>VLOOKUP(D35,Driver!$D$4:$AC$78,15,0)</f>
        <v>0</v>
      </c>
      <c r="I35" s="76">
        <f>VLOOKUP(D35,Driver!$D$4:$AC$78,16,0)</f>
        <v>32</v>
      </c>
      <c r="J35" s="76">
        <f>VLOOKUP(D35,Driver!$D$4:$AC$78,17,0)</f>
        <v>0</v>
      </c>
      <c r="K35" s="76">
        <f>VLOOKUP(D35,Driver!$D$4:$AC$78,18,0)</f>
        <v>40</v>
      </c>
      <c r="L35" s="76">
        <f>VLOOKUP(D35,Driver!$D$4:$AC$78,19,0)</f>
        <v>0</v>
      </c>
      <c r="M35" s="76">
        <f>VLOOKUP(D35,Driver!$D$4:$AC$78,20,0)</f>
        <v>34</v>
      </c>
      <c r="N35" s="76">
        <f>VLOOKUP(D35,Driver!$D$4:$AC$78,21,0)</f>
        <v>0</v>
      </c>
      <c r="O35" s="76">
        <f>VLOOKUP(D35,Driver!$D$4:$AC$78,22,0)</f>
        <v>10</v>
      </c>
      <c r="P35" s="76">
        <f>VLOOKUP(D35,Driver!$D$4:$AC$78,23,0)</f>
        <v>0</v>
      </c>
      <c r="Q35" s="76">
        <f>VLOOKUP(D35,Driver!$D$4:$AC$78,24,0)</f>
        <v>9</v>
      </c>
      <c r="R35" s="76">
        <f>VLOOKUP(D35,Driver!$D$4:$AC$78,25,0)</f>
        <v>0</v>
      </c>
      <c r="S35" s="76">
        <f>VLOOKUP(D35,Driver!$D$4:$AC$78,26,0)</f>
        <v>8</v>
      </c>
      <c r="T35" s="29">
        <f t="shared" si="0"/>
        <v>6.0185185185185185E-3</v>
      </c>
      <c r="U35" s="29">
        <f t="shared" si="6"/>
        <v>2.3148148148148147E-2</v>
      </c>
      <c r="V35" s="31">
        <f t="shared" si="1"/>
        <v>9.4444444444444445E-3</v>
      </c>
      <c r="W35" s="29" t="e">
        <f t="shared" si="2"/>
        <v>#REF!</v>
      </c>
      <c r="X35" s="29" t="e">
        <f t="shared" si="3"/>
        <v>#REF!</v>
      </c>
      <c r="Y35" s="29" t="e">
        <f t="shared" si="4"/>
        <v>#REF!</v>
      </c>
      <c r="Z35" s="7" t="e">
        <f t="shared" si="5"/>
        <v>#REF!</v>
      </c>
      <c r="AA35" s="1" t="e">
        <f>VLOOKUP(C35,'Calculo Demanda'!#REF!,2,0)</f>
        <v>#REF!</v>
      </c>
    </row>
    <row r="36" spans="1:27" x14ac:dyDescent="0.25">
      <c r="A36" s="1">
        <v>33</v>
      </c>
      <c r="B36" s="5" t="s">
        <v>11</v>
      </c>
      <c r="C36" s="121" t="s">
        <v>253</v>
      </c>
      <c r="D36" s="5" t="s">
        <v>193</v>
      </c>
      <c r="E36" s="6" t="s">
        <v>47</v>
      </c>
      <c r="F36" s="76">
        <f>VLOOKUP(D36,Driver!$D$4:$AC$78,13,0)</f>
        <v>0</v>
      </c>
      <c r="G36" s="76">
        <f>VLOOKUP(D36,Driver!$D$4:$AC$78,14,0)</f>
        <v>2</v>
      </c>
      <c r="H36" s="76">
        <f>VLOOKUP(D36,Driver!$D$4:$AC$78,15,0)</f>
        <v>0</v>
      </c>
      <c r="I36" s="76">
        <f>VLOOKUP(D36,Driver!$D$4:$AC$78,16,0)</f>
        <v>3</v>
      </c>
      <c r="J36" s="76">
        <f>VLOOKUP(D36,Driver!$D$4:$AC$78,17,0)</f>
        <v>0</v>
      </c>
      <c r="K36" s="76">
        <f>VLOOKUP(D36,Driver!$D$4:$AC$78,18,0)</f>
        <v>2</v>
      </c>
      <c r="L36" s="76">
        <f>VLOOKUP(D36,Driver!$D$4:$AC$78,19,0)</f>
        <v>4</v>
      </c>
      <c r="M36" s="76">
        <f>VLOOKUP(D36,Driver!$D$4:$AC$78,20,0)</f>
        <v>42</v>
      </c>
      <c r="N36" s="76">
        <f>VLOOKUP(D36,Driver!$D$4:$AC$78,21,0)</f>
        <v>0</v>
      </c>
      <c r="O36" s="76">
        <f>VLOOKUP(D36,Driver!$D$4:$AC$78,22,0)</f>
        <v>12</v>
      </c>
      <c r="P36" s="76">
        <f>VLOOKUP(D36,Driver!$D$4:$AC$78,23,0)</f>
        <v>0</v>
      </c>
      <c r="Q36" s="76">
        <f>VLOOKUP(D36,Driver!$D$4:$AC$78,24,0)</f>
        <v>12</v>
      </c>
      <c r="R36" s="76">
        <f>VLOOKUP(D36,Driver!$D$4:$AC$78,25,0)</f>
        <v>0</v>
      </c>
      <c r="S36" s="76">
        <f>VLOOKUP(D36,Driver!$D$4:$AC$78,26,0)</f>
        <v>12</v>
      </c>
      <c r="T36" s="29">
        <f t="shared" si="0"/>
        <v>7.7777777777777776E-3</v>
      </c>
      <c r="U36" s="29">
        <f t="shared" si="6"/>
        <v>1.5740740740740741E-3</v>
      </c>
      <c r="V36" s="31">
        <f t="shared" si="1"/>
        <v>7.8333333333333338E-2</v>
      </c>
      <c r="W36" s="29" t="e">
        <f t="shared" si="2"/>
        <v>#REF!</v>
      </c>
      <c r="X36" s="29" t="e">
        <f t="shared" si="3"/>
        <v>#REF!</v>
      </c>
      <c r="Y36" s="29" t="e">
        <f t="shared" si="4"/>
        <v>#REF!</v>
      </c>
      <c r="Z36" s="7" t="e">
        <f t="shared" si="5"/>
        <v>#REF!</v>
      </c>
      <c r="AA36" s="1" t="e">
        <f>VLOOKUP(C36,'Calculo Demanda'!#REF!,2,0)</f>
        <v>#REF!</v>
      </c>
    </row>
    <row r="37" spans="1:27" x14ac:dyDescent="0.25">
      <c r="A37" s="1">
        <v>34</v>
      </c>
      <c r="B37" s="5" t="s">
        <v>11</v>
      </c>
      <c r="C37" s="121" t="s">
        <v>253</v>
      </c>
      <c r="D37" s="5" t="s">
        <v>166</v>
      </c>
      <c r="E37" s="6" t="s">
        <v>48</v>
      </c>
      <c r="F37" s="76">
        <f>VLOOKUP(D37,Driver!$D$4:$AC$78,13,0)</f>
        <v>0</v>
      </c>
      <c r="G37" s="76">
        <f>VLOOKUP(D37,Driver!$D$4:$AC$78,14,0)</f>
        <v>15</v>
      </c>
      <c r="H37" s="76">
        <f>VLOOKUP(D37,Driver!$D$4:$AC$78,15,0)</f>
        <v>0</v>
      </c>
      <c r="I37" s="76">
        <f>VLOOKUP(D37,Driver!$D$4:$AC$78,16,0)</f>
        <v>18</v>
      </c>
      <c r="J37" s="76">
        <f>VLOOKUP(D37,Driver!$D$4:$AC$78,17,0)</f>
        <v>0</v>
      </c>
      <c r="K37" s="76">
        <f>VLOOKUP(D37,Driver!$D$4:$AC$78,18,0)</f>
        <v>17</v>
      </c>
      <c r="L37" s="76">
        <f>VLOOKUP(D37,Driver!$D$4:$AC$78,19,0)</f>
        <v>0</v>
      </c>
      <c r="M37" s="76">
        <f>VLOOKUP(D37,Driver!$D$4:$AC$78,20,0)</f>
        <v>0</v>
      </c>
      <c r="N37" s="76">
        <f>VLOOKUP(D37,Driver!$D$4:$AC$78,21,0)</f>
        <v>0</v>
      </c>
      <c r="O37" s="76">
        <f>VLOOKUP(D37,Driver!$D$4:$AC$78,22,0)</f>
        <v>1.41</v>
      </c>
      <c r="P37" s="76">
        <f>VLOOKUP(D37,Driver!$D$4:$AC$78,23,0)</f>
        <v>0</v>
      </c>
      <c r="Q37" s="76">
        <f>VLOOKUP(D37,Driver!$D$4:$AC$78,24,0)</f>
        <v>1.28</v>
      </c>
      <c r="R37" s="76">
        <f>VLOOKUP(D37,Driver!$D$4:$AC$78,25,0)</f>
        <v>0</v>
      </c>
      <c r="S37" s="76">
        <f>VLOOKUP(D37,Driver!$D$4:$AC$78,26,0)</f>
        <v>1.32</v>
      </c>
      <c r="T37" s="29">
        <f t="shared" si="0"/>
        <v>8.6944444444444439E-4</v>
      </c>
      <c r="U37" s="29">
        <f t="shared" si="6"/>
        <v>1.074074074074074E-2</v>
      </c>
      <c r="V37" s="31">
        <f t="shared" si="1"/>
        <v>0</v>
      </c>
      <c r="W37" s="29" t="e">
        <f t="shared" si="2"/>
        <v>#REF!</v>
      </c>
      <c r="X37" s="29" t="e">
        <f t="shared" si="3"/>
        <v>#REF!</v>
      </c>
      <c r="Y37" s="29" t="e">
        <f t="shared" si="4"/>
        <v>#REF!</v>
      </c>
      <c r="Z37" s="7" t="e">
        <f t="shared" si="5"/>
        <v>#REF!</v>
      </c>
      <c r="AA37" s="1" t="e">
        <f>VLOOKUP(C37,'Calculo Demanda'!#REF!,2,0)</f>
        <v>#REF!</v>
      </c>
    </row>
    <row r="38" spans="1:27" x14ac:dyDescent="0.25">
      <c r="A38" s="1">
        <v>35</v>
      </c>
      <c r="B38" s="5" t="s">
        <v>11</v>
      </c>
      <c r="C38" s="121" t="s">
        <v>253</v>
      </c>
      <c r="D38" s="5" t="s">
        <v>174</v>
      </c>
      <c r="E38" s="6" t="s">
        <v>49</v>
      </c>
      <c r="F38" s="76">
        <f>VLOOKUP(D38,Driver!$D$4:$AC$78,13,0)</f>
        <v>0</v>
      </c>
      <c r="G38" s="76">
        <f>VLOOKUP(D38,Driver!$D$4:$AC$78,14,0)</f>
        <v>38</v>
      </c>
      <c r="H38" s="76">
        <f>VLOOKUP(D38,Driver!$D$4:$AC$78,15,0)</f>
        <v>0</v>
      </c>
      <c r="I38" s="76">
        <f>VLOOKUP(D38,Driver!$D$4:$AC$78,16,0)</f>
        <v>32</v>
      </c>
      <c r="J38" s="76">
        <f>VLOOKUP(D38,Driver!$D$4:$AC$78,17,0)</f>
        <v>0</v>
      </c>
      <c r="K38" s="76">
        <f>VLOOKUP(D38,Driver!$D$4:$AC$78,18,0)</f>
        <v>29</v>
      </c>
      <c r="L38" s="76">
        <f>VLOOKUP(D38,Driver!$D$4:$AC$78,19,0)</f>
        <v>0</v>
      </c>
      <c r="M38" s="76">
        <f>VLOOKUP(D38,Driver!$D$4:$AC$78,20,0)</f>
        <v>0</v>
      </c>
      <c r="N38" s="76">
        <f>VLOOKUP(D38,Driver!$D$4:$AC$78,21,0)</f>
        <v>0</v>
      </c>
      <c r="O38" s="76">
        <f>VLOOKUP(D38,Driver!$D$4:$AC$78,22,0)</f>
        <v>13</v>
      </c>
      <c r="P38" s="76">
        <f>VLOOKUP(D38,Driver!$D$4:$AC$78,23,0)</f>
        <v>0</v>
      </c>
      <c r="Q38" s="76">
        <f>VLOOKUP(D38,Driver!$D$4:$AC$78,24,0)</f>
        <v>11</v>
      </c>
      <c r="R38" s="76">
        <f>VLOOKUP(D38,Driver!$D$4:$AC$78,25,0)</f>
        <v>0</v>
      </c>
      <c r="S38" s="76">
        <f>VLOOKUP(D38,Driver!$D$4:$AC$78,26,0)</f>
        <v>10</v>
      </c>
      <c r="T38" s="29">
        <f t="shared" si="0"/>
        <v>7.5925925925925926E-3</v>
      </c>
      <c r="U38" s="29">
        <f t="shared" si="6"/>
        <v>2.2129629629629631E-2</v>
      </c>
      <c r="V38" s="31">
        <f t="shared" si="1"/>
        <v>0</v>
      </c>
      <c r="W38" s="29" t="e">
        <f t="shared" si="2"/>
        <v>#REF!</v>
      </c>
      <c r="X38" s="29" t="e">
        <f t="shared" si="3"/>
        <v>#REF!</v>
      </c>
      <c r="Y38" s="29" t="e">
        <f t="shared" si="4"/>
        <v>#REF!</v>
      </c>
      <c r="Z38" s="7" t="e">
        <f t="shared" si="5"/>
        <v>#REF!</v>
      </c>
      <c r="AA38" s="1" t="e">
        <f>VLOOKUP(C38,'Calculo Demanda'!#REF!,2,0)</f>
        <v>#REF!</v>
      </c>
    </row>
    <row r="39" spans="1:27" x14ac:dyDescent="0.25">
      <c r="A39" s="1">
        <v>36</v>
      </c>
      <c r="B39" s="5" t="s">
        <v>11</v>
      </c>
      <c r="C39" s="121" t="s">
        <v>253</v>
      </c>
      <c r="D39" s="5" t="s">
        <v>191</v>
      </c>
      <c r="E39" s="6" t="s">
        <v>40</v>
      </c>
      <c r="F39" s="76">
        <f>VLOOKUP(D39,Driver!$D$4:$AC$78,13,0)</f>
        <v>0</v>
      </c>
      <c r="G39" s="76">
        <f>VLOOKUP(D39,Driver!$D$4:$AC$78,14,0)</f>
        <v>3</v>
      </c>
      <c r="H39" s="76">
        <f>VLOOKUP(D39,Driver!$D$4:$AC$78,15,0)</f>
        <v>0</v>
      </c>
      <c r="I39" s="76">
        <f>VLOOKUP(D39,Driver!$D$4:$AC$78,16,0)</f>
        <v>4</v>
      </c>
      <c r="J39" s="76">
        <f>VLOOKUP(D39,Driver!$D$4:$AC$78,17,0)</f>
        <v>0</v>
      </c>
      <c r="K39" s="76">
        <f>VLOOKUP(D39,Driver!$D$4:$AC$78,18,0)</f>
        <v>3</v>
      </c>
      <c r="L39" s="76">
        <f>VLOOKUP(D39,Driver!$D$4:$AC$78,19,0)</f>
        <v>0</v>
      </c>
      <c r="M39" s="76">
        <f>VLOOKUP(D39,Driver!$D$4:$AC$78,20,0)</f>
        <v>45</v>
      </c>
      <c r="N39" s="76">
        <f>VLOOKUP(D39,Driver!$D$4:$AC$78,21,0)</f>
        <v>0</v>
      </c>
      <c r="O39" s="76">
        <f>VLOOKUP(D39,Driver!$D$4:$AC$78,22,0)</f>
        <v>4</v>
      </c>
      <c r="P39" s="76">
        <f>VLOOKUP(D39,Driver!$D$4:$AC$78,23,0)</f>
        <v>0</v>
      </c>
      <c r="Q39" s="76">
        <f>VLOOKUP(D39,Driver!$D$4:$AC$78,24,0)</f>
        <v>6</v>
      </c>
      <c r="R39" s="76">
        <f>VLOOKUP(D39,Driver!$D$4:$AC$78,25,0)</f>
        <v>0</v>
      </c>
      <c r="S39" s="76">
        <f>VLOOKUP(D39,Driver!$D$4:$AC$78,26,0)</f>
        <v>7</v>
      </c>
      <c r="T39" s="29">
        <f t="shared" si="0"/>
        <v>3.425925925925926E-3</v>
      </c>
      <c r="U39" s="29">
        <f t="shared" si="6"/>
        <v>2.2222222222222222E-3</v>
      </c>
      <c r="V39" s="31">
        <f t="shared" si="1"/>
        <v>1.2500000000000001E-2</v>
      </c>
      <c r="W39" s="29" t="e">
        <f t="shared" si="2"/>
        <v>#REF!</v>
      </c>
      <c r="X39" s="29" t="e">
        <f t="shared" si="3"/>
        <v>#REF!</v>
      </c>
      <c r="Y39" s="29" t="e">
        <f t="shared" si="4"/>
        <v>#REF!</v>
      </c>
      <c r="Z39" s="7" t="e">
        <f t="shared" si="5"/>
        <v>#REF!</v>
      </c>
      <c r="AA39" s="1" t="e">
        <f>VLOOKUP(C39,'Calculo Demanda'!#REF!,2,0)</f>
        <v>#REF!</v>
      </c>
    </row>
    <row r="40" spans="1:27" x14ac:dyDescent="0.25">
      <c r="A40" s="1">
        <v>37</v>
      </c>
      <c r="B40" s="5" t="s">
        <v>11</v>
      </c>
      <c r="C40" s="121" t="s">
        <v>253</v>
      </c>
      <c r="D40" s="5" t="s">
        <v>167</v>
      </c>
      <c r="E40" s="6" t="s">
        <v>42</v>
      </c>
      <c r="F40" s="76">
        <f>VLOOKUP(D40,Driver!$D$4:$AC$78,13,0)</f>
        <v>0</v>
      </c>
      <c r="G40" s="76">
        <f>VLOOKUP(D40,Driver!$D$4:$AC$78,14,0)</f>
        <v>11</v>
      </c>
      <c r="H40" s="76">
        <f>VLOOKUP(D40,Driver!$D$4:$AC$78,15,0)</f>
        <v>0</v>
      </c>
      <c r="I40" s="76">
        <f>VLOOKUP(D40,Driver!$D$4:$AC$78,16,0)</f>
        <v>9</v>
      </c>
      <c r="J40" s="76">
        <f>VLOOKUP(D40,Driver!$D$4:$AC$78,17,0)</f>
        <v>0</v>
      </c>
      <c r="K40" s="76">
        <f>VLOOKUP(D40,Driver!$D$4:$AC$78,18,0)</f>
        <v>10</v>
      </c>
      <c r="L40" s="76">
        <f>VLOOKUP(D40,Driver!$D$4:$AC$78,19,0)</f>
        <v>0</v>
      </c>
      <c r="M40" s="76">
        <f>VLOOKUP(D40,Driver!$D$4:$AC$78,20,0)</f>
        <v>15</v>
      </c>
      <c r="N40" s="76">
        <f>VLOOKUP(D40,Driver!$D$4:$AC$78,21,0)</f>
        <v>0</v>
      </c>
      <c r="O40" s="76">
        <f>VLOOKUP(D40,Driver!$D$4:$AC$78,22,0)</f>
        <v>8</v>
      </c>
      <c r="P40" s="76">
        <f>VLOOKUP(D40,Driver!$D$4:$AC$78,23,0)</f>
        <v>0</v>
      </c>
      <c r="Q40" s="76">
        <f>VLOOKUP(D40,Driver!$D$4:$AC$78,24,0)</f>
        <v>7</v>
      </c>
      <c r="R40" s="76">
        <f>VLOOKUP(D40,Driver!$D$4:$AC$78,25,0)</f>
        <v>0</v>
      </c>
      <c r="S40" s="76">
        <f>VLOOKUP(D40,Driver!$D$4:$AC$78,26,0)</f>
        <v>8</v>
      </c>
      <c r="T40" s="29">
        <f t="shared" si="0"/>
        <v>4.9074074074074081E-3</v>
      </c>
      <c r="U40" s="29">
        <f t="shared" si="6"/>
        <v>6.4814814814814813E-3</v>
      </c>
      <c r="V40" s="31">
        <f t="shared" si="1"/>
        <v>4.1666666666666666E-3</v>
      </c>
      <c r="W40" s="29" t="e">
        <f t="shared" si="2"/>
        <v>#REF!</v>
      </c>
      <c r="X40" s="29" t="e">
        <f t="shared" si="3"/>
        <v>#REF!</v>
      </c>
      <c r="Y40" s="29" t="e">
        <f t="shared" si="4"/>
        <v>#REF!</v>
      </c>
      <c r="Z40" s="7" t="e">
        <f t="shared" si="5"/>
        <v>#REF!</v>
      </c>
      <c r="AA40" s="1" t="e">
        <f>VLOOKUP(C40,'Calculo Demanda'!#REF!,2,0)</f>
        <v>#REF!</v>
      </c>
    </row>
    <row r="41" spans="1:27" x14ac:dyDescent="0.25">
      <c r="A41" s="1">
        <v>38</v>
      </c>
      <c r="B41" s="5" t="s">
        <v>11</v>
      </c>
      <c r="C41" s="121" t="s">
        <v>253</v>
      </c>
      <c r="D41" s="5" t="s">
        <v>175</v>
      </c>
      <c r="E41" s="6" t="s">
        <v>69</v>
      </c>
      <c r="F41" s="76">
        <f>VLOOKUP(D41,Driver!$D$4:$AC$78,13,0)</f>
        <v>0</v>
      </c>
      <c r="G41" s="76">
        <f>VLOOKUP(D41,Driver!$D$4:$AC$78,14,0)</f>
        <v>5</v>
      </c>
      <c r="H41" s="76">
        <f>VLOOKUP(D41,Driver!$D$4:$AC$78,15,0)</f>
        <v>0</v>
      </c>
      <c r="I41" s="76">
        <f>VLOOKUP(D41,Driver!$D$4:$AC$78,16,0)</f>
        <v>4</v>
      </c>
      <c r="J41" s="76">
        <f>VLOOKUP(D41,Driver!$D$4:$AC$78,17,0)</f>
        <v>0</v>
      </c>
      <c r="K41" s="76">
        <f>VLOOKUP(D41,Driver!$D$4:$AC$78,18,0)</f>
        <v>6</v>
      </c>
      <c r="L41" s="76">
        <f>VLOOKUP(D41,Driver!$D$4:$AC$78,19,0)</f>
        <v>0</v>
      </c>
      <c r="M41" s="76">
        <f>VLOOKUP(D41,Driver!$D$4:$AC$78,20,0)</f>
        <v>0</v>
      </c>
      <c r="N41" s="76">
        <f>VLOOKUP(D41,Driver!$D$4:$AC$78,21,0)</f>
        <v>1</v>
      </c>
      <c r="O41" s="76">
        <f>VLOOKUP(D41,Driver!$D$4:$AC$78,22,0)</f>
        <v>16</v>
      </c>
      <c r="P41" s="76">
        <f>VLOOKUP(D41,Driver!$D$4:$AC$78,23,0)</f>
        <v>0</v>
      </c>
      <c r="Q41" s="76">
        <f>VLOOKUP(D41,Driver!$D$4:$AC$78,24,0)</f>
        <v>59</v>
      </c>
      <c r="R41" s="76">
        <f>VLOOKUP(D41,Driver!$D$4:$AC$78,25,0)</f>
        <v>1</v>
      </c>
      <c r="S41" s="76">
        <f>VLOOKUP(D41,Driver!$D$4:$AC$78,26,0)</f>
        <v>3</v>
      </c>
      <c r="T41" s="29">
        <f t="shared" si="0"/>
        <v>5.4444444444444441E-2</v>
      </c>
      <c r="U41" s="29">
        <f t="shared" si="6"/>
        <v>3.0555555555555557E-3</v>
      </c>
      <c r="V41" s="31">
        <f t="shared" si="1"/>
        <v>0</v>
      </c>
      <c r="W41" s="29" t="e">
        <f t="shared" si="2"/>
        <v>#REF!</v>
      </c>
      <c r="X41" s="29" t="e">
        <f t="shared" si="3"/>
        <v>#REF!</v>
      </c>
      <c r="Y41" s="29" t="e">
        <f t="shared" si="4"/>
        <v>#REF!</v>
      </c>
      <c r="Z41" s="7" t="e">
        <f t="shared" si="5"/>
        <v>#REF!</v>
      </c>
      <c r="AA41" s="1" t="e">
        <f>VLOOKUP(C41,'Calculo Demanda'!#REF!,2,0)</f>
        <v>#REF!</v>
      </c>
    </row>
    <row r="42" spans="1:27" x14ac:dyDescent="0.25">
      <c r="A42" s="1">
        <v>39</v>
      </c>
      <c r="B42" s="5" t="s">
        <v>11</v>
      </c>
      <c r="C42" s="121" t="s">
        <v>253</v>
      </c>
      <c r="D42" s="5" t="s">
        <v>178</v>
      </c>
      <c r="E42" s="6" t="s">
        <v>46</v>
      </c>
      <c r="F42" s="76">
        <f>VLOOKUP(D42,Driver!$D$4:$AC$78,13,0)</f>
        <v>0</v>
      </c>
      <c r="G42" s="76">
        <f>VLOOKUP(D42,Driver!$D$4:$AC$78,14,0)</f>
        <v>6</v>
      </c>
      <c r="H42" s="76">
        <f>VLOOKUP(D42,Driver!$D$4:$AC$78,15,0)</f>
        <v>0</v>
      </c>
      <c r="I42" s="76">
        <f>VLOOKUP(D42,Driver!$D$4:$AC$78,16,0)</f>
        <v>11</v>
      </c>
      <c r="J42" s="76">
        <f>VLOOKUP(D42,Driver!$D$4:$AC$78,17,0)</f>
        <v>0</v>
      </c>
      <c r="K42" s="76">
        <f>VLOOKUP(D42,Driver!$D$4:$AC$78,18,0)</f>
        <v>9</v>
      </c>
      <c r="L42" s="76">
        <f>VLOOKUP(D42,Driver!$D$4:$AC$78,19,0)</f>
        <v>0</v>
      </c>
      <c r="M42" s="76">
        <f>VLOOKUP(D42,Driver!$D$4:$AC$78,20,0)</f>
        <v>40</v>
      </c>
      <c r="N42" s="76">
        <f>VLOOKUP(D42,Driver!$D$4:$AC$78,21,0)</f>
        <v>0</v>
      </c>
      <c r="O42" s="76">
        <f>VLOOKUP(D42,Driver!$D$4:$AC$78,22,0)</f>
        <v>5</v>
      </c>
      <c r="P42" s="76">
        <f>VLOOKUP(D42,Driver!$D$4:$AC$78,23,0)</f>
        <v>0</v>
      </c>
      <c r="Q42" s="76">
        <f>VLOOKUP(D42,Driver!$D$4:$AC$78,24,0)</f>
        <v>6</v>
      </c>
      <c r="R42" s="76">
        <f>VLOOKUP(D42,Driver!$D$4:$AC$78,25,0)</f>
        <v>0</v>
      </c>
      <c r="S42" s="76">
        <f>VLOOKUP(D42,Driver!$D$4:$AC$78,26,0)</f>
        <v>5</v>
      </c>
      <c r="T42" s="29">
        <f t="shared" si="0"/>
        <v>3.5185185185185185E-3</v>
      </c>
      <c r="U42" s="29">
        <f t="shared" si="6"/>
        <v>5.5555555555555558E-3</v>
      </c>
      <c r="V42" s="31">
        <f t="shared" si="1"/>
        <v>1.1111111111111112E-2</v>
      </c>
      <c r="W42" s="29" t="e">
        <f t="shared" si="2"/>
        <v>#REF!</v>
      </c>
      <c r="X42" s="29" t="e">
        <f t="shared" si="3"/>
        <v>#REF!</v>
      </c>
      <c r="Y42" s="29" t="e">
        <f t="shared" si="4"/>
        <v>#REF!</v>
      </c>
      <c r="Z42" s="7" t="e">
        <f t="shared" si="5"/>
        <v>#REF!</v>
      </c>
      <c r="AA42" s="1" t="e">
        <f>VLOOKUP(C42,'Calculo Demanda'!#REF!,2,0)</f>
        <v>#REF!</v>
      </c>
    </row>
    <row r="43" spans="1:27" x14ac:dyDescent="0.25">
      <c r="A43" s="1">
        <v>40</v>
      </c>
      <c r="B43" s="5" t="s">
        <v>11</v>
      </c>
      <c r="C43" s="121" t="s">
        <v>253</v>
      </c>
      <c r="D43" s="5" t="s">
        <v>199</v>
      </c>
      <c r="E43" s="6" t="s">
        <v>115</v>
      </c>
      <c r="F43" s="76">
        <f>VLOOKUP(D43,Driver!$D$4:$AC$78,13,0)</f>
        <v>0</v>
      </c>
      <c r="G43" s="76">
        <f>VLOOKUP(D43,Driver!$D$4:$AC$78,14,0)</f>
        <v>13</v>
      </c>
      <c r="H43" s="76">
        <f>VLOOKUP(D43,Driver!$D$4:$AC$78,15,0)</f>
        <v>0</v>
      </c>
      <c r="I43" s="76">
        <f>VLOOKUP(D43,Driver!$D$4:$AC$78,16,0)</f>
        <v>15</v>
      </c>
      <c r="J43" s="76">
        <f>VLOOKUP(D43,Driver!$D$4:$AC$78,17,0)</f>
        <v>0</v>
      </c>
      <c r="K43" s="76">
        <f>VLOOKUP(D43,Driver!$D$4:$AC$78,18,0)</f>
        <v>13</v>
      </c>
      <c r="L43" s="76">
        <f>VLOOKUP(D43,Driver!$D$4:$AC$78,19,0)</f>
        <v>0</v>
      </c>
      <c r="M43" s="76">
        <f>VLOOKUP(D43,Driver!$D$4:$AC$78,20,0)</f>
        <v>0</v>
      </c>
      <c r="N43" s="76">
        <f>VLOOKUP(D43,Driver!$D$4:$AC$78,21,0)</f>
        <v>1</v>
      </c>
      <c r="O43" s="76">
        <f>VLOOKUP(D43,Driver!$D$4:$AC$78,22,0)</f>
        <v>11</v>
      </c>
      <c r="P43" s="76">
        <f>VLOOKUP(D43,Driver!$D$4:$AC$78,23,0)</f>
        <v>0</v>
      </c>
      <c r="Q43" s="76">
        <f>VLOOKUP(D43,Driver!$D$4:$AC$78,24,0)</f>
        <v>55</v>
      </c>
      <c r="R43" s="76">
        <f>VLOOKUP(D43,Driver!$D$4:$AC$78,25,0)</f>
        <v>1</v>
      </c>
      <c r="S43" s="76">
        <f>VLOOKUP(D43,Driver!$D$4:$AC$78,26,0)</f>
        <v>0</v>
      </c>
      <c r="T43" s="29">
        <f t="shared" si="0"/>
        <v>5.1666666666666666E-2</v>
      </c>
      <c r="U43" s="29">
        <f t="shared" si="6"/>
        <v>8.9814814814814826E-3</v>
      </c>
      <c r="V43" s="31">
        <f t="shared" si="1"/>
        <v>0</v>
      </c>
      <c r="W43" s="29" t="e">
        <f t="shared" si="2"/>
        <v>#REF!</v>
      </c>
      <c r="X43" s="29" t="e">
        <f t="shared" si="3"/>
        <v>#REF!</v>
      </c>
      <c r="Y43" s="29" t="e">
        <f t="shared" si="4"/>
        <v>#REF!</v>
      </c>
      <c r="Z43" s="7" t="e">
        <f t="shared" si="5"/>
        <v>#REF!</v>
      </c>
      <c r="AA43" s="1" t="e">
        <f>VLOOKUP(C43,'Calculo Demanda'!#REF!,2,0)</f>
        <v>#REF!</v>
      </c>
    </row>
    <row r="44" spans="1:27" x14ac:dyDescent="0.25">
      <c r="A44" s="1">
        <v>41</v>
      </c>
      <c r="B44" s="5" t="s">
        <v>11</v>
      </c>
      <c r="C44" s="121" t="s">
        <v>253</v>
      </c>
      <c r="D44" s="5" t="s">
        <v>233</v>
      </c>
      <c r="E44" s="6" t="s">
        <v>123</v>
      </c>
      <c r="F44" s="76">
        <f>VLOOKUP(D44,Driver!$D$4:$AC$78,13,0)</f>
        <v>0</v>
      </c>
      <c r="G44" s="76">
        <f>VLOOKUP(D44,Driver!$D$4:$AC$78,14,0)</f>
        <v>17</v>
      </c>
      <c r="H44" s="76">
        <f>VLOOKUP(D44,Driver!$D$4:$AC$78,15,0)</f>
        <v>0</v>
      </c>
      <c r="I44" s="76">
        <f>VLOOKUP(D44,Driver!$D$4:$AC$78,16,0)</f>
        <v>15</v>
      </c>
      <c r="J44" s="76">
        <f>VLOOKUP(D44,Driver!$D$4:$AC$78,17,0)</f>
        <v>0</v>
      </c>
      <c r="K44" s="76">
        <f>VLOOKUP(D44,Driver!$D$4:$AC$78,18,0)</f>
        <v>16</v>
      </c>
      <c r="L44" s="76">
        <f>VLOOKUP(D44,Driver!$D$4:$AC$78,19,0)</f>
        <v>0</v>
      </c>
      <c r="M44" s="76">
        <f>VLOOKUP(D44,Driver!$D$4:$AC$78,20,0)</f>
        <v>0</v>
      </c>
      <c r="N44" s="76">
        <f>VLOOKUP(D44,Driver!$D$4:$AC$78,21,0)</f>
        <v>1</v>
      </c>
      <c r="O44" s="76">
        <f>VLOOKUP(D44,Driver!$D$4:$AC$78,22,0)</f>
        <v>0</v>
      </c>
      <c r="P44" s="76">
        <f>VLOOKUP(D44,Driver!$D$4:$AC$78,23,0)</f>
        <v>1</v>
      </c>
      <c r="Q44" s="76">
        <f>VLOOKUP(D44,Driver!$D$4:$AC$78,24,0)</f>
        <v>5</v>
      </c>
      <c r="R44" s="76">
        <f>VLOOKUP(D44,Driver!$D$4:$AC$78,25,0)</f>
        <v>0</v>
      </c>
      <c r="S44" s="76">
        <f>VLOOKUP(D44,Driver!$D$4:$AC$78,26,0)</f>
        <v>58</v>
      </c>
      <c r="T44" s="29">
        <f t="shared" si="0"/>
        <v>4.0092592592592596E-2</v>
      </c>
      <c r="U44" s="29">
        <f t="shared" si="6"/>
        <v>1.0370370370370372E-2</v>
      </c>
      <c r="V44" s="31">
        <f t="shared" si="1"/>
        <v>0</v>
      </c>
      <c r="W44" s="29" t="e">
        <f t="shared" si="2"/>
        <v>#REF!</v>
      </c>
      <c r="X44" s="29" t="e">
        <f t="shared" si="3"/>
        <v>#REF!</v>
      </c>
      <c r="Y44" s="29" t="e">
        <f t="shared" si="4"/>
        <v>#REF!</v>
      </c>
      <c r="Z44" s="7" t="e">
        <f t="shared" si="5"/>
        <v>#REF!</v>
      </c>
      <c r="AA44" s="1" t="e">
        <f>VLOOKUP(C44,'Calculo Demanda'!#REF!,2,0)</f>
        <v>#REF!</v>
      </c>
    </row>
    <row r="45" spans="1:27" x14ac:dyDescent="0.25">
      <c r="A45" s="1">
        <v>42</v>
      </c>
      <c r="B45" s="5" t="s">
        <v>11</v>
      </c>
      <c r="C45" s="121" t="s">
        <v>253</v>
      </c>
      <c r="D45" s="5" t="s">
        <v>173</v>
      </c>
      <c r="E45" s="6" t="s">
        <v>125</v>
      </c>
      <c r="F45" s="76">
        <f>VLOOKUP(D45,Driver!$D$4:$AC$78,13,0)</f>
        <v>0</v>
      </c>
      <c r="G45" s="76">
        <f>VLOOKUP(D45,Driver!$D$4:$AC$78,14,0)</f>
        <v>34</v>
      </c>
      <c r="H45" s="76">
        <f>VLOOKUP(D45,Driver!$D$4:$AC$78,15,0)</f>
        <v>0</v>
      </c>
      <c r="I45" s="76">
        <f>VLOOKUP(D45,Driver!$D$4:$AC$78,16,0)</f>
        <v>32</v>
      </c>
      <c r="J45" s="76">
        <f>VLOOKUP(D45,Driver!$D$4:$AC$78,17,0)</f>
        <v>0</v>
      </c>
      <c r="K45" s="76">
        <f>VLOOKUP(D45,Driver!$D$4:$AC$78,18,0)</f>
        <v>38</v>
      </c>
      <c r="L45" s="76">
        <f>VLOOKUP(D45,Driver!$D$4:$AC$78,19,0)</f>
        <v>0</v>
      </c>
      <c r="M45" s="76">
        <f>VLOOKUP(D45,Driver!$D$4:$AC$78,20,0)</f>
        <v>0</v>
      </c>
      <c r="N45" s="76">
        <f>VLOOKUP(D45,Driver!$D$4:$AC$78,21,0)</f>
        <v>0</v>
      </c>
      <c r="O45" s="76">
        <f>VLOOKUP(D45,Driver!$D$4:$AC$78,22,0)</f>
        <v>25</v>
      </c>
      <c r="P45" s="76">
        <f>VLOOKUP(D45,Driver!$D$4:$AC$78,23,0)</f>
        <v>0</v>
      </c>
      <c r="Q45" s="76">
        <f>VLOOKUP(D45,Driver!$D$4:$AC$78,24,0)</f>
        <v>28</v>
      </c>
      <c r="R45" s="76">
        <f>VLOOKUP(D45,Driver!$D$4:$AC$78,25,0)</f>
        <v>0</v>
      </c>
      <c r="S45" s="76">
        <f>VLOOKUP(D45,Driver!$D$4:$AC$78,26,0)</f>
        <v>29</v>
      </c>
      <c r="T45" s="29">
        <f t="shared" si="0"/>
        <v>1.7407407407407406E-2</v>
      </c>
      <c r="U45" s="29">
        <f t="shared" si="6"/>
        <v>2.1851851851851851E-2</v>
      </c>
      <c r="V45" s="31">
        <f t="shared" si="1"/>
        <v>0</v>
      </c>
      <c r="W45" s="29" t="e">
        <f t="shared" si="2"/>
        <v>#REF!</v>
      </c>
      <c r="X45" s="29" t="e">
        <f t="shared" si="3"/>
        <v>#REF!</v>
      </c>
      <c r="Y45" s="29" t="e">
        <f t="shared" si="4"/>
        <v>#REF!</v>
      </c>
      <c r="Z45" s="7" t="e">
        <f t="shared" si="5"/>
        <v>#REF!</v>
      </c>
      <c r="AA45" s="1" t="e">
        <f>VLOOKUP(C45,'Calculo Demanda'!#REF!,2,0)</f>
        <v>#REF!</v>
      </c>
    </row>
    <row r="46" spans="1:27" x14ac:dyDescent="0.25">
      <c r="A46" s="1">
        <v>43</v>
      </c>
      <c r="B46" s="5" t="s">
        <v>11</v>
      </c>
      <c r="C46" s="121" t="s">
        <v>253</v>
      </c>
      <c r="D46" s="5" t="s">
        <v>171</v>
      </c>
      <c r="E46" s="6" t="s">
        <v>50</v>
      </c>
      <c r="F46" s="76">
        <f>VLOOKUP(D46,Driver!$D$4:$AC$78,13,0)</f>
        <v>0</v>
      </c>
      <c r="G46" s="76">
        <f>VLOOKUP(D46,Driver!$D$4:$AC$78,14,0)</f>
        <v>7</v>
      </c>
      <c r="H46" s="76">
        <f>VLOOKUP(D46,Driver!$D$4:$AC$78,15,0)</f>
        <v>0</v>
      </c>
      <c r="I46" s="76">
        <f>VLOOKUP(D46,Driver!$D$4:$AC$78,16,0)</f>
        <v>8</v>
      </c>
      <c r="J46" s="76">
        <f>VLOOKUP(D46,Driver!$D$4:$AC$78,17,0)</f>
        <v>0</v>
      </c>
      <c r="K46" s="76">
        <f>VLOOKUP(D46,Driver!$D$4:$AC$78,18,0)</f>
        <v>7</v>
      </c>
      <c r="L46" s="76">
        <f>VLOOKUP(D46,Driver!$D$4:$AC$78,19,0)</f>
        <v>0</v>
      </c>
      <c r="M46" s="76">
        <f>VLOOKUP(D46,Driver!$D$4:$AC$78,20,0)</f>
        <v>0</v>
      </c>
      <c r="N46" s="76">
        <f>VLOOKUP(D46,Driver!$D$4:$AC$78,21,0)</f>
        <v>0</v>
      </c>
      <c r="O46" s="76">
        <f>VLOOKUP(D46,Driver!$D$4:$AC$78,22,0)</f>
        <v>38</v>
      </c>
      <c r="P46" s="76">
        <f>VLOOKUP(D46,Driver!$D$4:$AC$78,23,0)</f>
        <v>0</v>
      </c>
      <c r="Q46" s="76">
        <f>VLOOKUP(D46,Driver!$D$4:$AC$78,24,0)</f>
        <v>44</v>
      </c>
      <c r="R46" s="76">
        <f>VLOOKUP(D46,Driver!$D$4:$AC$78,25,0)</f>
        <v>0</v>
      </c>
      <c r="S46" s="76">
        <f>VLOOKUP(D46,Driver!$D$4:$AC$78,26,0)</f>
        <v>46</v>
      </c>
      <c r="T46" s="29">
        <f t="shared" si="0"/>
        <v>2.7037037037037037E-2</v>
      </c>
      <c r="U46" s="29">
        <f t="shared" si="6"/>
        <v>4.8148148148148143E-3</v>
      </c>
      <c r="V46" s="31">
        <f t="shared" si="1"/>
        <v>0</v>
      </c>
      <c r="W46" s="29" t="e">
        <f t="shared" si="2"/>
        <v>#REF!</v>
      </c>
      <c r="X46" s="29" t="e">
        <f t="shared" si="3"/>
        <v>#REF!</v>
      </c>
      <c r="Y46" s="29" t="e">
        <f t="shared" si="4"/>
        <v>#REF!</v>
      </c>
      <c r="Z46" s="7" t="e">
        <f t="shared" si="5"/>
        <v>#REF!</v>
      </c>
      <c r="AA46" s="1" t="e">
        <f>VLOOKUP(C46,'Calculo Demanda'!#REF!,2,0)</f>
        <v>#REF!</v>
      </c>
    </row>
    <row r="47" spans="1:27" x14ac:dyDescent="0.25">
      <c r="A47" s="1">
        <v>44</v>
      </c>
      <c r="B47" s="5" t="s">
        <v>11</v>
      </c>
      <c r="C47" s="121" t="s">
        <v>253</v>
      </c>
      <c r="D47" s="5" t="s">
        <v>169</v>
      </c>
      <c r="E47" s="6" t="s">
        <v>51</v>
      </c>
      <c r="F47" s="76">
        <f>VLOOKUP(D47,Driver!$D$4:$AC$78,13,0)</f>
        <v>0</v>
      </c>
      <c r="G47" s="76">
        <f>VLOOKUP(D47,Driver!$D$4:$AC$78,14,0)</f>
        <v>12</v>
      </c>
      <c r="H47" s="76">
        <f>VLOOKUP(D47,Driver!$D$4:$AC$78,15,0)</f>
        <v>0</v>
      </c>
      <c r="I47" s="76">
        <f>VLOOKUP(D47,Driver!$D$4:$AC$78,16,0)</f>
        <v>9</v>
      </c>
      <c r="J47" s="76">
        <f>VLOOKUP(D47,Driver!$D$4:$AC$78,17,0)</f>
        <v>0</v>
      </c>
      <c r="K47" s="76">
        <f>VLOOKUP(D47,Driver!$D$4:$AC$78,18,0)</f>
        <v>10</v>
      </c>
      <c r="L47" s="76">
        <f>VLOOKUP(D47,Driver!$D$4:$AC$78,19,0)</f>
        <v>0</v>
      </c>
      <c r="M47" s="76">
        <f>VLOOKUP(D47,Driver!$D$4:$AC$78,20,0)</f>
        <v>0</v>
      </c>
      <c r="N47" s="76">
        <f>VLOOKUP(D47,Driver!$D$4:$AC$78,21,0)</f>
        <v>0</v>
      </c>
      <c r="O47" s="76">
        <f>VLOOKUP(D47,Driver!$D$4:$AC$78,22,0)</f>
        <v>21</v>
      </c>
      <c r="P47" s="76">
        <f>VLOOKUP(D47,Driver!$D$4:$AC$78,23,0)</f>
        <v>0</v>
      </c>
      <c r="Q47" s="76">
        <f>VLOOKUP(D47,Driver!$D$4:$AC$78,24,0)</f>
        <v>17</v>
      </c>
      <c r="R47" s="76">
        <f>VLOOKUP(D47,Driver!$D$4:$AC$78,25,0)</f>
        <v>0</v>
      </c>
      <c r="S47" s="76">
        <f>VLOOKUP(D47,Driver!$D$4:$AC$78,26,0)</f>
        <v>19</v>
      </c>
      <c r="T47" s="29">
        <f t="shared" si="0"/>
        <v>1.2314814814814815E-2</v>
      </c>
      <c r="U47" s="29">
        <f t="shared" si="6"/>
        <v>6.7592592592592591E-3</v>
      </c>
      <c r="V47" s="31">
        <f t="shared" si="1"/>
        <v>0</v>
      </c>
      <c r="W47" s="29" t="e">
        <f t="shared" si="2"/>
        <v>#REF!</v>
      </c>
      <c r="X47" s="29" t="e">
        <f t="shared" si="3"/>
        <v>#REF!</v>
      </c>
      <c r="Y47" s="29" t="e">
        <f t="shared" si="4"/>
        <v>#REF!</v>
      </c>
      <c r="Z47" s="7" t="e">
        <f t="shared" si="5"/>
        <v>#REF!</v>
      </c>
      <c r="AA47" s="1" t="e">
        <f>VLOOKUP(C47,'Calculo Demanda'!#REF!,2,0)</f>
        <v>#REF!</v>
      </c>
    </row>
    <row r="48" spans="1:27" x14ac:dyDescent="0.25">
      <c r="A48" s="1">
        <v>45</v>
      </c>
      <c r="B48" s="5" t="s">
        <v>11</v>
      </c>
      <c r="C48" s="121" t="s">
        <v>253</v>
      </c>
      <c r="D48" s="5" t="s">
        <v>194</v>
      </c>
      <c r="E48" s="6" t="s">
        <v>54</v>
      </c>
      <c r="F48" s="76">
        <f>VLOOKUP(D48,Driver!$D$4:$AC$78,13,0)</f>
        <v>0</v>
      </c>
      <c r="G48" s="76">
        <f>VLOOKUP(D48,Driver!$D$4:$AC$78,14,0)</f>
        <v>6</v>
      </c>
      <c r="H48" s="76">
        <f>VLOOKUP(D48,Driver!$D$4:$AC$78,15,0)</f>
        <v>0</v>
      </c>
      <c r="I48" s="76">
        <f>VLOOKUP(D48,Driver!$D$4:$AC$78,16,0)</f>
        <v>7</v>
      </c>
      <c r="J48" s="76">
        <f>VLOOKUP(D48,Driver!$D$4:$AC$78,17,0)</f>
        <v>0</v>
      </c>
      <c r="K48" s="76">
        <f>VLOOKUP(D48,Driver!$D$4:$AC$78,18,0)</f>
        <v>6</v>
      </c>
      <c r="L48" s="76">
        <f>VLOOKUP(D48,Driver!$D$4:$AC$78,19,0)</f>
        <v>0</v>
      </c>
      <c r="M48" s="76">
        <f>VLOOKUP(D48,Driver!$D$4:$AC$78,20,0)</f>
        <v>0</v>
      </c>
      <c r="N48" s="76">
        <f>VLOOKUP(D48,Driver!$D$4:$AC$78,21,0)</f>
        <v>0</v>
      </c>
      <c r="O48" s="76">
        <f>VLOOKUP(D48,Driver!$D$4:$AC$78,22,0)</f>
        <v>23</v>
      </c>
      <c r="P48" s="76">
        <f>VLOOKUP(D48,Driver!$D$4:$AC$78,23,0)</f>
        <v>0</v>
      </c>
      <c r="Q48" s="76">
        <f>VLOOKUP(D48,Driver!$D$4:$AC$78,24,0)</f>
        <v>22</v>
      </c>
      <c r="R48" s="76">
        <f>VLOOKUP(D48,Driver!$D$4:$AC$78,25,0)</f>
        <v>0</v>
      </c>
      <c r="S48" s="76">
        <f>VLOOKUP(D48,Driver!$D$4:$AC$78,26,0)</f>
        <v>22</v>
      </c>
      <c r="T48" s="29">
        <f t="shared" si="0"/>
        <v>1.4537037037037038E-2</v>
      </c>
      <c r="U48" s="29">
        <f t="shared" si="6"/>
        <v>4.1666666666666666E-3</v>
      </c>
      <c r="V48" s="31">
        <f t="shared" si="1"/>
        <v>0</v>
      </c>
      <c r="W48" s="29" t="e">
        <f t="shared" si="2"/>
        <v>#REF!</v>
      </c>
      <c r="X48" s="29" t="e">
        <f t="shared" si="3"/>
        <v>#REF!</v>
      </c>
      <c r="Y48" s="29" t="e">
        <f t="shared" si="4"/>
        <v>#REF!</v>
      </c>
      <c r="Z48" s="7" t="e">
        <f t="shared" si="5"/>
        <v>#REF!</v>
      </c>
      <c r="AA48" s="1" t="e">
        <f>VLOOKUP(C48,'Calculo Demanda'!#REF!,2,0)</f>
        <v>#REF!</v>
      </c>
    </row>
    <row r="49" spans="1:27" x14ac:dyDescent="0.25">
      <c r="A49" s="1">
        <v>46</v>
      </c>
      <c r="B49" s="5" t="s">
        <v>11</v>
      </c>
      <c r="C49" s="121" t="s">
        <v>253</v>
      </c>
      <c r="D49" s="5" t="s">
        <v>219</v>
      </c>
      <c r="E49" s="6" t="s">
        <v>56</v>
      </c>
      <c r="F49" s="76">
        <f>VLOOKUP(D49,Driver!$D$4:$AC$78,13,0)</f>
        <v>0</v>
      </c>
      <c r="G49" s="76">
        <f>VLOOKUP(D49,Driver!$D$4:$AC$78,14,0)</f>
        <v>47</v>
      </c>
      <c r="H49" s="76">
        <f>VLOOKUP(D49,Driver!$D$4:$AC$78,15,0)</f>
        <v>0</v>
      </c>
      <c r="I49" s="76">
        <f>VLOOKUP(D49,Driver!$D$4:$AC$78,16,0)</f>
        <v>53</v>
      </c>
      <c r="J49" s="76">
        <f>VLOOKUP(D49,Driver!$D$4:$AC$78,17,0)</f>
        <v>0</v>
      </c>
      <c r="K49" s="76">
        <f>VLOOKUP(D49,Driver!$D$4:$AC$78,18,0)</f>
        <v>51</v>
      </c>
      <c r="L49" s="76">
        <f>VLOOKUP(D49,Driver!$D$4:$AC$78,19,0)</f>
        <v>0</v>
      </c>
      <c r="M49" s="76">
        <f>VLOOKUP(D49,Driver!$D$4:$AC$78,20,0)</f>
        <v>0</v>
      </c>
      <c r="N49" s="76">
        <f>VLOOKUP(D49,Driver!$D$4:$AC$78,21,0)</f>
        <v>0</v>
      </c>
      <c r="O49" s="76">
        <f>VLOOKUP(D49,Driver!$D$4:$AC$78,22,0)</f>
        <v>49</v>
      </c>
      <c r="P49" s="76">
        <f>VLOOKUP(D49,Driver!$D$4:$AC$78,23,0)</f>
        <v>0</v>
      </c>
      <c r="Q49" s="76">
        <f>VLOOKUP(D49,Driver!$D$4:$AC$78,24,0)</f>
        <v>42</v>
      </c>
      <c r="R49" s="76">
        <f>VLOOKUP(D49,Driver!$D$4:$AC$78,25,0)</f>
        <v>0</v>
      </c>
      <c r="S49" s="76">
        <f>VLOOKUP(D49,Driver!$D$4:$AC$78,26,0)</f>
        <v>48</v>
      </c>
      <c r="T49" s="29">
        <f t="shared" si="0"/>
        <v>2.9722222222222223E-2</v>
      </c>
      <c r="U49" s="29">
        <f t="shared" si="6"/>
        <v>3.2500000000000001E-2</v>
      </c>
      <c r="V49" s="31">
        <f t="shared" si="1"/>
        <v>0</v>
      </c>
      <c r="W49" s="29" t="e">
        <f t="shared" si="2"/>
        <v>#REF!</v>
      </c>
      <c r="X49" s="29" t="e">
        <f t="shared" si="3"/>
        <v>#REF!</v>
      </c>
      <c r="Y49" s="29" t="e">
        <f t="shared" si="4"/>
        <v>#REF!</v>
      </c>
      <c r="Z49" s="7" t="e">
        <f t="shared" si="5"/>
        <v>#REF!</v>
      </c>
      <c r="AA49" s="1" t="e">
        <f>VLOOKUP(C49,'Calculo Demanda'!#REF!,2,0)</f>
        <v>#REF!</v>
      </c>
    </row>
    <row r="50" spans="1:27" x14ac:dyDescent="0.25">
      <c r="A50" s="1">
        <v>47</v>
      </c>
      <c r="B50" s="5" t="s">
        <v>11</v>
      </c>
      <c r="C50" s="121" t="s">
        <v>253</v>
      </c>
      <c r="D50" s="5" t="s">
        <v>168</v>
      </c>
      <c r="E50" s="6" t="s">
        <v>58</v>
      </c>
      <c r="F50" s="76">
        <f>VLOOKUP(D50,Driver!$D$4:$AC$78,13,0)</f>
        <v>0</v>
      </c>
      <c r="G50" s="76">
        <f>VLOOKUP(D50,Driver!$D$4:$AC$78,14,0)</f>
        <v>8</v>
      </c>
      <c r="H50" s="76">
        <f>VLOOKUP(D50,Driver!$D$4:$AC$78,15,0)</f>
        <v>0</v>
      </c>
      <c r="I50" s="76">
        <f>VLOOKUP(D50,Driver!$D$4:$AC$78,16,0)</f>
        <v>11</v>
      </c>
      <c r="J50" s="76">
        <f>VLOOKUP(D50,Driver!$D$4:$AC$78,17,0)</f>
        <v>0</v>
      </c>
      <c r="K50" s="76">
        <f>VLOOKUP(D50,Driver!$D$4:$AC$78,18,0)</f>
        <v>9</v>
      </c>
      <c r="L50" s="76">
        <f>VLOOKUP(D50,Driver!$D$4:$AC$78,19,0)</f>
        <v>0</v>
      </c>
      <c r="M50" s="76">
        <f>VLOOKUP(D50,Driver!$D$4:$AC$78,20,0)</f>
        <v>0</v>
      </c>
      <c r="N50" s="76">
        <f>VLOOKUP(D50,Driver!$D$4:$AC$78,21,0)</f>
        <v>0</v>
      </c>
      <c r="O50" s="76">
        <f>VLOOKUP(D50,Driver!$D$4:$AC$78,22,0)</f>
        <v>22</v>
      </c>
      <c r="P50" s="76">
        <f>VLOOKUP(D50,Driver!$D$4:$AC$78,23,0)</f>
        <v>0</v>
      </c>
      <c r="Q50" s="76">
        <f>VLOOKUP(D50,Driver!$D$4:$AC$78,24,0)</f>
        <v>18</v>
      </c>
      <c r="R50" s="76">
        <f>VLOOKUP(D50,Driver!$D$4:$AC$78,25,0)</f>
        <v>0</v>
      </c>
      <c r="S50" s="76">
        <f>VLOOKUP(D50,Driver!$D$4:$AC$78,26,0)</f>
        <v>19</v>
      </c>
      <c r="T50" s="29">
        <f t="shared" si="0"/>
        <v>1.2870370370370371E-2</v>
      </c>
      <c r="U50" s="29">
        <f t="shared" si="6"/>
        <v>6.1111111111111114E-3</v>
      </c>
      <c r="V50" s="31">
        <f t="shared" si="1"/>
        <v>0</v>
      </c>
      <c r="W50" s="29" t="e">
        <f t="shared" si="2"/>
        <v>#REF!</v>
      </c>
      <c r="X50" s="29" t="e">
        <f t="shared" si="3"/>
        <v>#REF!</v>
      </c>
      <c r="Y50" s="29" t="e">
        <f t="shared" si="4"/>
        <v>#REF!</v>
      </c>
      <c r="Z50" s="7" t="e">
        <f t="shared" si="5"/>
        <v>#REF!</v>
      </c>
      <c r="AA50" s="1" t="e">
        <f>VLOOKUP(C50,'Calculo Demanda'!#REF!,2,0)</f>
        <v>#REF!</v>
      </c>
    </row>
    <row r="51" spans="1:27" x14ac:dyDescent="0.25">
      <c r="A51" s="1">
        <v>48</v>
      </c>
      <c r="B51" s="5" t="s">
        <v>11</v>
      </c>
      <c r="C51" s="121" t="s">
        <v>253</v>
      </c>
      <c r="D51" s="5" t="s">
        <v>192</v>
      </c>
      <c r="E51" s="6" t="s">
        <v>129</v>
      </c>
      <c r="F51" s="76">
        <f>VLOOKUP(D51,Driver!$D$4:$AC$78,13,0)</f>
        <v>0</v>
      </c>
      <c r="G51" s="76">
        <f>VLOOKUP(D51,Driver!$D$4:$AC$78,14,0)</f>
        <v>12</v>
      </c>
      <c r="H51" s="76">
        <f>VLOOKUP(D51,Driver!$D$4:$AC$78,15,0)</f>
        <v>0</v>
      </c>
      <c r="I51" s="76">
        <f>VLOOKUP(D51,Driver!$D$4:$AC$78,16,0)</f>
        <v>18</v>
      </c>
      <c r="J51" s="76">
        <f>VLOOKUP(D51,Driver!$D$4:$AC$78,17,0)</f>
        <v>0</v>
      </c>
      <c r="K51" s="76">
        <f>VLOOKUP(D51,Driver!$D$4:$AC$78,18,0)</f>
        <v>15</v>
      </c>
      <c r="L51" s="76">
        <f>VLOOKUP(D51,Driver!$D$4:$AC$78,19,0)</f>
        <v>0</v>
      </c>
      <c r="M51" s="76">
        <f>VLOOKUP(D51,Driver!$D$4:$AC$78,20,0)</f>
        <v>0</v>
      </c>
      <c r="N51" s="76">
        <f>VLOOKUP(D51,Driver!$D$4:$AC$78,21,0)</f>
        <v>0</v>
      </c>
      <c r="O51" s="76">
        <f>VLOOKUP(D51,Driver!$D$4:$AC$78,22,0)</f>
        <v>21</v>
      </c>
      <c r="P51" s="76">
        <f>VLOOKUP(D51,Driver!$D$4:$AC$78,23,0)</f>
        <v>0</v>
      </c>
      <c r="Q51" s="76">
        <f>VLOOKUP(D51,Driver!$D$4:$AC$78,24,0)</f>
        <v>22</v>
      </c>
      <c r="R51" s="76">
        <f>VLOOKUP(D51,Driver!$D$4:$AC$78,25,0)</f>
        <v>0</v>
      </c>
      <c r="S51" s="76">
        <f>VLOOKUP(D51,Driver!$D$4:$AC$78,26,0)</f>
        <v>20</v>
      </c>
      <c r="T51" s="29">
        <f t="shared" si="0"/>
        <v>1.3796296296296296E-2</v>
      </c>
      <c r="U51" s="29">
        <f t="shared" si="6"/>
        <v>9.7222222222222224E-3</v>
      </c>
      <c r="V51" s="31">
        <f t="shared" si="1"/>
        <v>0</v>
      </c>
      <c r="W51" s="29" t="e">
        <f t="shared" si="2"/>
        <v>#REF!</v>
      </c>
      <c r="X51" s="29" t="e">
        <f t="shared" si="3"/>
        <v>#REF!</v>
      </c>
      <c r="Y51" s="29" t="e">
        <f t="shared" si="4"/>
        <v>#REF!</v>
      </c>
      <c r="Z51" s="7" t="e">
        <f t="shared" si="5"/>
        <v>#REF!</v>
      </c>
      <c r="AA51" s="1" t="e">
        <f>VLOOKUP(C51,'Calculo Demanda'!#REF!,2,0)</f>
        <v>#REF!</v>
      </c>
    </row>
    <row r="52" spans="1:27" x14ac:dyDescent="0.25">
      <c r="A52" s="1">
        <v>49</v>
      </c>
      <c r="B52" s="5" t="s">
        <v>11</v>
      </c>
      <c r="C52" s="121" t="s">
        <v>253</v>
      </c>
      <c r="D52" s="5" t="s">
        <v>195</v>
      </c>
      <c r="E52" s="6" t="s">
        <v>70</v>
      </c>
      <c r="F52" s="76">
        <f>VLOOKUP(D52,Driver!$D$4:$AC$78,13,0)</f>
        <v>0</v>
      </c>
      <c r="G52" s="76">
        <f>VLOOKUP(D52,Driver!$D$4:$AC$78,14,0)</f>
        <v>0</v>
      </c>
      <c r="H52" s="76">
        <f>VLOOKUP(D52,Driver!$D$4:$AC$78,15,0)</f>
        <v>0</v>
      </c>
      <c r="I52" s="76">
        <f>VLOOKUP(D52,Driver!$D$4:$AC$78,16,0)</f>
        <v>0</v>
      </c>
      <c r="J52" s="76">
        <f>VLOOKUP(D52,Driver!$D$4:$AC$78,17,0)</f>
        <v>0</v>
      </c>
      <c r="K52" s="76">
        <f>VLOOKUP(D52,Driver!$D$4:$AC$78,18,0)</f>
        <v>205.41095890410961</v>
      </c>
      <c r="L52" s="76">
        <f>VLOOKUP(D52,Driver!$D$4:$AC$78,19,0)</f>
        <v>0</v>
      </c>
      <c r="M52" s="76">
        <f>VLOOKUP(D52,Driver!$D$4:$AC$78,20,0)</f>
        <v>0</v>
      </c>
      <c r="N52" s="76">
        <f>VLOOKUP(D52,Driver!$D$4:$AC$78,21,0)</f>
        <v>0</v>
      </c>
      <c r="O52" s="76">
        <f>VLOOKUP(D52,Driver!$D$4:$AC$78,22,0)</f>
        <v>48</v>
      </c>
      <c r="P52" s="76">
        <f>VLOOKUP(D52,Driver!$D$4:$AC$78,23,0)</f>
        <v>0</v>
      </c>
      <c r="Q52" s="76">
        <f>VLOOKUP(D52,Driver!$D$4:$AC$78,24,0)</f>
        <v>47</v>
      </c>
      <c r="R52" s="76">
        <f>VLOOKUP(D52,Driver!$D$4:$AC$78,25,0)</f>
        <v>0</v>
      </c>
      <c r="S52" s="76">
        <f>VLOOKUP(D52,Driver!$D$4:$AC$78,26,0)</f>
        <v>45</v>
      </c>
      <c r="T52" s="29">
        <f t="shared" si="0"/>
        <v>3.0555555555555555E-2</v>
      </c>
      <c r="U52" s="29">
        <f t="shared" si="6"/>
        <v>1.9019533231862E-2</v>
      </c>
      <c r="V52" s="31">
        <f t="shared" si="1"/>
        <v>0</v>
      </c>
      <c r="W52" s="29" t="e">
        <f t="shared" si="2"/>
        <v>#REF!</v>
      </c>
      <c r="X52" s="29" t="e">
        <f t="shared" si="3"/>
        <v>#REF!</v>
      </c>
      <c r="Y52" s="29" t="e">
        <f t="shared" si="4"/>
        <v>#REF!</v>
      </c>
      <c r="Z52" s="7" t="e">
        <f t="shared" si="5"/>
        <v>#REF!</v>
      </c>
      <c r="AA52" s="1" t="e">
        <f>VLOOKUP(C52,'Calculo Demanda'!#REF!,2,0)</f>
        <v>#REF!</v>
      </c>
    </row>
    <row r="53" spans="1:27" x14ac:dyDescent="0.25">
      <c r="A53" s="1">
        <v>50</v>
      </c>
      <c r="B53" s="5" t="s">
        <v>11</v>
      </c>
      <c r="C53" s="121" t="s">
        <v>253</v>
      </c>
      <c r="D53" s="5" t="s">
        <v>204</v>
      </c>
      <c r="E53" s="6" t="s">
        <v>72</v>
      </c>
      <c r="F53" s="76">
        <f>VLOOKUP(D53,Driver!$D$4:$AC$78,13,0)</f>
        <v>0</v>
      </c>
      <c r="G53" s="76">
        <f>VLOOKUP(D53,Driver!$D$4:$AC$78,14,0)</f>
        <v>15</v>
      </c>
      <c r="H53" s="76">
        <f>VLOOKUP(D53,Driver!$D$4:$AC$78,15,0)</f>
        <v>0</v>
      </c>
      <c r="I53" s="76">
        <f>VLOOKUP(D53,Driver!$D$4:$AC$78,16,0)</f>
        <v>18</v>
      </c>
      <c r="J53" s="76">
        <f>VLOOKUP(D53,Driver!$D$4:$AC$78,17,0)</f>
        <v>0</v>
      </c>
      <c r="K53" s="76">
        <f>VLOOKUP(D53,Driver!$D$4:$AC$78,18,0)</f>
        <v>25</v>
      </c>
      <c r="L53" s="76">
        <f>VLOOKUP(D53,Driver!$D$4:$AC$78,19,0)</f>
        <v>0</v>
      </c>
      <c r="M53" s="76">
        <f>VLOOKUP(D53,Driver!$D$4:$AC$78,20,0)</f>
        <v>0</v>
      </c>
      <c r="N53" s="76">
        <f>VLOOKUP(D53,Driver!$D$4:$AC$78,21,0)</f>
        <v>0</v>
      </c>
      <c r="O53" s="76">
        <f>VLOOKUP(D53,Driver!$D$4:$AC$78,22,0)</f>
        <v>35</v>
      </c>
      <c r="P53" s="76">
        <f>VLOOKUP(D53,Driver!$D$4:$AC$78,23,0)</f>
        <v>0</v>
      </c>
      <c r="Q53" s="76">
        <f>VLOOKUP(D53,Driver!$D$4:$AC$78,24,0)</f>
        <v>38</v>
      </c>
      <c r="R53" s="76">
        <f>VLOOKUP(D53,Driver!$D$4:$AC$78,25,0)</f>
        <v>0</v>
      </c>
      <c r="S53" s="76">
        <f>VLOOKUP(D53,Driver!$D$4:$AC$78,26,0)</f>
        <v>42</v>
      </c>
      <c r="T53" s="29">
        <f t="shared" si="0"/>
        <v>2.4166666666666666E-2</v>
      </c>
      <c r="U53" s="29">
        <f t="shared" si="6"/>
        <v>1.1481481481481481E-2</v>
      </c>
      <c r="V53" s="31">
        <f t="shared" si="1"/>
        <v>0</v>
      </c>
      <c r="W53" s="29" t="e">
        <f t="shared" si="2"/>
        <v>#REF!</v>
      </c>
      <c r="X53" s="29" t="e">
        <f t="shared" si="3"/>
        <v>#REF!</v>
      </c>
      <c r="Y53" s="29" t="e">
        <f t="shared" si="4"/>
        <v>#REF!</v>
      </c>
      <c r="Z53" s="7" t="e">
        <f t="shared" si="5"/>
        <v>#REF!</v>
      </c>
      <c r="AA53" s="1" t="e">
        <f>VLOOKUP(C53,'Calculo Demanda'!#REF!,2,0)</f>
        <v>#REF!</v>
      </c>
    </row>
    <row r="54" spans="1:27" x14ac:dyDescent="0.25">
      <c r="A54" s="1">
        <v>51</v>
      </c>
      <c r="B54" s="5" t="s">
        <v>11</v>
      </c>
      <c r="C54" s="121" t="s">
        <v>253</v>
      </c>
      <c r="D54" s="5" t="s">
        <v>234</v>
      </c>
      <c r="E54" s="6" t="s">
        <v>74</v>
      </c>
      <c r="F54" s="76">
        <f>VLOOKUP(D54,Driver!$D$4:$AC$78,13,0)</f>
        <v>2</v>
      </c>
      <c r="G54" s="76">
        <f>VLOOKUP(D54,Driver!$D$4:$AC$78,14,0)</f>
        <v>26</v>
      </c>
      <c r="H54" s="76">
        <f>VLOOKUP(D54,Driver!$D$4:$AC$78,15,0)</f>
        <v>2</v>
      </c>
      <c r="I54" s="76">
        <f>VLOOKUP(D54,Driver!$D$4:$AC$78,16,0)</f>
        <v>40</v>
      </c>
      <c r="J54" s="76">
        <f>VLOOKUP(D54,Driver!$D$4:$AC$78,17,0)</f>
        <v>2</v>
      </c>
      <c r="K54" s="76">
        <f>VLOOKUP(D54,Driver!$D$4:$AC$78,18,0)</f>
        <v>21</v>
      </c>
      <c r="L54" s="76">
        <f>VLOOKUP(D54,Driver!$D$4:$AC$78,19,0)</f>
        <v>0</v>
      </c>
      <c r="M54" s="76">
        <f>VLOOKUP(D54,Driver!$D$4:$AC$78,20,0)</f>
        <v>0</v>
      </c>
      <c r="N54" s="76">
        <f>VLOOKUP(D54,Driver!$D$4:$AC$78,21,0)</f>
        <v>1</v>
      </c>
      <c r="O54" s="76">
        <f>VLOOKUP(D54,Driver!$D$4:$AC$78,22,0)</f>
        <v>6</v>
      </c>
      <c r="P54" s="76">
        <f>VLOOKUP(D54,Driver!$D$4:$AC$78,23,0)</f>
        <v>1</v>
      </c>
      <c r="Q54" s="76">
        <f>VLOOKUP(D54,Driver!$D$4:$AC$78,24,0)</f>
        <v>10</v>
      </c>
      <c r="R54" s="76">
        <f>VLOOKUP(D54,Driver!$D$4:$AC$78,25,0)</f>
        <v>1</v>
      </c>
      <c r="S54" s="76">
        <f>VLOOKUP(D54,Driver!$D$4:$AC$78,26,0)</f>
        <v>18</v>
      </c>
      <c r="T54" s="29">
        <f t="shared" si="0"/>
        <v>5.6111111111111112E-2</v>
      </c>
      <c r="U54" s="29">
        <f t="shared" si="6"/>
        <v>0.12027777777777778</v>
      </c>
      <c r="V54" s="31">
        <f t="shared" si="1"/>
        <v>0</v>
      </c>
      <c r="W54" s="29" t="e">
        <f t="shared" si="2"/>
        <v>#REF!</v>
      </c>
      <c r="X54" s="29" t="e">
        <f t="shared" si="3"/>
        <v>#REF!</v>
      </c>
      <c r="Y54" s="29" t="e">
        <f t="shared" si="4"/>
        <v>#REF!</v>
      </c>
      <c r="Z54" s="7" t="e">
        <f t="shared" si="5"/>
        <v>#REF!</v>
      </c>
      <c r="AA54" s="1" t="e">
        <f>VLOOKUP(C54,'Calculo Demanda'!#REF!,2,0)</f>
        <v>#REF!</v>
      </c>
    </row>
    <row r="55" spans="1:27" x14ac:dyDescent="0.25">
      <c r="A55" s="1">
        <v>52</v>
      </c>
      <c r="B55" s="5" t="s">
        <v>11</v>
      </c>
      <c r="C55" s="121" t="s">
        <v>253</v>
      </c>
      <c r="D55" s="5" t="s">
        <v>235</v>
      </c>
      <c r="E55" s="6" t="s">
        <v>76</v>
      </c>
      <c r="F55" s="76">
        <f>VLOOKUP(D55,Driver!$D$4:$AC$78,13,0)</f>
        <v>0</v>
      </c>
      <c r="G55" s="76">
        <f>VLOOKUP(D55,Driver!$D$4:$AC$78,14,0)</f>
        <v>0</v>
      </c>
      <c r="H55" s="76">
        <f>VLOOKUP(D55,Driver!$D$4:$AC$78,15,0)</f>
        <v>0</v>
      </c>
      <c r="I55" s="76">
        <f>VLOOKUP(D55,Driver!$D$4:$AC$78,16,0)</f>
        <v>0</v>
      </c>
      <c r="J55" s="76">
        <f>VLOOKUP(D55,Driver!$D$4:$AC$78,17,0)</f>
        <v>0</v>
      </c>
      <c r="K55" s="76">
        <f>VLOOKUP(D55,Driver!$D$4:$AC$78,18,0)</f>
        <v>205.41095890410961</v>
      </c>
      <c r="L55" s="76">
        <f>VLOOKUP(D55,Driver!$D$4:$AC$78,19,0)</f>
        <v>0</v>
      </c>
      <c r="M55" s="76">
        <f>VLOOKUP(D55,Driver!$D$4:$AC$78,20,0)</f>
        <v>0</v>
      </c>
      <c r="N55" s="76">
        <f>VLOOKUP(D55,Driver!$D$4:$AC$78,21,0)</f>
        <v>0</v>
      </c>
      <c r="O55" s="76">
        <f>VLOOKUP(D55,Driver!$D$4:$AC$78,22,0)</f>
        <v>15</v>
      </c>
      <c r="P55" s="76">
        <f>VLOOKUP(D55,Driver!$D$4:$AC$78,23,0)</f>
        <v>0</v>
      </c>
      <c r="Q55" s="76">
        <f>VLOOKUP(D55,Driver!$D$4:$AC$78,24,0)</f>
        <v>17</v>
      </c>
      <c r="R55" s="76">
        <f>VLOOKUP(D55,Driver!$D$4:$AC$78,25,0)</f>
        <v>0</v>
      </c>
      <c r="S55" s="76">
        <f>VLOOKUP(D55,Driver!$D$4:$AC$78,26,0)</f>
        <v>16</v>
      </c>
      <c r="T55" s="29">
        <f t="shared" si="0"/>
        <v>1.0370370370370372E-2</v>
      </c>
      <c r="U55" s="29">
        <f t="shared" si="6"/>
        <v>1.9019533231862E-2</v>
      </c>
      <c r="V55" s="31">
        <f t="shared" si="1"/>
        <v>0</v>
      </c>
      <c r="W55" s="29" t="e">
        <f t="shared" si="2"/>
        <v>#REF!</v>
      </c>
      <c r="X55" s="29" t="e">
        <f t="shared" si="3"/>
        <v>#REF!</v>
      </c>
      <c r="Y55" s="29" t="e">
        <f t="shared" si="4"/>
        <v>#REF!</v>
      </c>
      <c r="Z55" s="7" t="e">
        <f t="shared" si="5"/>
        <v>#REF!</v>
      </c>
      <c r="AA55" s="1" t="e">
        <f>VLOOKUP(C55,'Calculo Demanda'!#REF!,2,0)</f>
        <v>#REF!</v>
      </c>
    </row>
    <row r="56" spans="1:27" x14ac:dyDescent="0.25">
      <c r="A56" s="1">
        <v>53</v>
      </c>
      <c r="B56" s="5" t="s">
        <v>11</v>
      </c>
      <c r="C56" s="121" t="s">
        <v>253</v>
      </c>
      <c r="D56" s="5" t="s">
        <v>196</v>
      </c>
      <c r="E56" s="6" t="s">
        <v>77</v>
      </c>
      <c r="F56" s="76">
        <f>VLOOKUP(D56,Driver!$D$4:$AC$78,13,0)</f>
        <v>0</v>
      </c>
      <c r="G56" s="76">
        <f>VLOOKUP(D56,Driver!$D$4:$AC$78,14,0)</f>
        <v>39</v>
      </c>
      <c r="H56" s="76">
        <f>VLOOKUP(D56,Driver!$D$4:$AC$78,15,0)</f>
        <v>0</v>
      </c>
      <c r="I56" s="76">
        <f>VLOOKUP(D56,Driver!$D$4:$AC$78,16,0)</f>
        <v>33</v>
      </c>
      <c r="J56" s="76">
        <f>VLOOKUP(D56,Driver!$D$4:$AC$78,17,0)</f>
        <v>0</v>
      </c>
      <c r="K56" s="76">
        <f>VLOOKUP(D56,Driver!$D$4:$AC$78,18,0)</f>
        <v>31</v>
      </c>
      <c r="L56" s="76">
        <f>VLOOKUP(D56,Driver!$D$4:$AC$78,19,0)</f>
        <v>0</v>
      </c>
      <c r="M56" s="76">
        <f>VLOOKUP(D56,Driver!$D$4:$AC$78,20,0)</f>
        <v>0</v>
      </c>
      <c r="N56" s="76">
        <f>VLOOKUP(D56,Driver!$D$4:$AC$78,21,0)</f>
        <v>0</v>
      </c>
      <c r="O56" s="76">
        <f>VLOOKUP(D56,Driver!$D$4:$AC$78,22,0)</f>
        <v>4</v>
      </c>
      <c r="P56" s="76">
        <f>VLOOKUP(D56,Driver!$D$4:$AC$78,23,0)</f>
        <v>0</v>
      </c>
      <c r="Q56" s="76">
        <f>VLOOKUP(D56,Driver!$D$4:$AC$78,24,0)</f>
        <v>5</v>
      </c>
      <c r="R56" s="76">
        <f>VLOOKUP(D56,Driver!$D$4:$AC$78,25,0)</f>
        <v>0</v>
      </c>
      <c r="S56" s="76">
        <f>VLOOKUP(D56,Driver!$D$4:$AC$78,26,0)</f>
        <v>4</v>
      </c>
      <c r="T56" s="29">
        <f t="shared" si="0"/>
        <v>2.8703703703703703E-3</v>
      </c>
      <c r="U56" s="29">
        <f t="shared" si="6"/>
        <v>2.2870370370370371E-2</v>
      </c>
      <c r="V56" s="31">
        <f t="shared" si="1"/>
        <v>0</v>
      </c>
      <c r="W56" s="29" t="e">
        <f t="shared" si="2"/>
        <v>#REF!</v>
      </c>
      <c r="X56" s="29" t="e">
        <f t="shared" si="3"/>
        <v>#REF!</v>
      </c>
      <c r="Y56" s="29" t="e">
        <f t="shared" si="4"/>
        <v>#REF!</v>
      </c>
      <c r="Z56" s="7" t="e">
        <f t="shared" si="5"/>
        <v>#REF!</v>
      </c>
      <c r="AA56" s="1" t="e">
        <f>VLOOKUP(C56,'Calculo Demanda'!#REF!,2,0)</f>
        <v>#REF!</v>
      </c>
    </row>
    <row r="57" spans="1:27" x14ac:dyDescent="0.25">
      <c r="A57" s="1">
        <v>54</v>
      </c>
      <c r="B57" s="5" t="s">
        <v>11</v>
      </c>
      <c r="C57" s="121" t="s">
        <v>253</v>
      </c>
      <c r="D57" s="5" t="s">
        <v>181</v>
      </c>
      <c r="E57" s="6" t="s">
        <v>79</v>
      </c>
      <c r="F57" s="76">
        <f>VLOOKUP(D57,Driver!$D$4:$AC$78,13,0)</f>
        <v>0</v>
      </c>
      <c r="G57" s="76">
        <f>VLOOKUP(D57,Driver!$D$4:$AC$78,14,0)</f>
        <v>11</v>
      </c>
      <c r="H57" s="76">
        <f>VLOOKUP(D57,Driver!$D$4:$AC$78,15,0)</f>
        <v>0</v>
      </c>
      <c r="I57" s="76">
        <f>VLOOKUP(D57,Driver!$D$4:$AC$78,16,0)</f>
        <v>13</v>
      </c>
      <c r="J57" s="76">
        <f>VLOOKUP(D57,Driver!$D$4:$AC$78,17,0)</f>
        <v>0</v>
      </c>
      <c r="K57" s="76">
        <f>VLOOKUP(D57,Driver!$D$4:$AC$78,18,0)</f>
        <v>11</v>
      </c>
      <c r="L57" s="76">
        <f>VLOOKUP(D57,Driver!$D$4:$AC$78,19,0)</f>
        <v>0</v>
      </c>
      <c r="M57" s="76">
        <f>VLOOKUP(D57,Driver!$D$4:$AC$78,20,0)</f>
        <v>0</v>
      </c>
      <c r="N57" s="76">
        <f>VLOOKUP(D57,Driver!$D$4:$AC$78,21,0)</f>
        <v>0</v>
      </c>
      <c r="O57" s="76">
        <f>VLOOKUP(D57,Driver!$D$4:$AC$78,22,0)</f>
        <v>21</v>
      </c>
      <c r="P57" s="76">
        <f>VLOOKUP(D57,Driver!$D$4:$AC$78,23,0)</f>
        <v>0</v>
      </c>
      <c r="Q57" s="76">
        <f>VLOOKUP(D57,Driver!$D$4:$AC$78,24,0)</f>
        <v>25</v>
      </c>
      <c r="R57" s="76">
        <f>VLOOKUP(D57,Driver!$D$4:$AC$78,25,0)</f>
        <v>0</v>
      </c>
      <c r="S57" s="76">
        <f>VLOOKUP(D57,Driver!$D$4:$AC$78,26,0)</f>
        <v>26</v>
      </c>
      <c r="T57" s="29">
        <f t="shared" si="0"/>
        <v>1.5185185185185185E-2</v>
      </c>
      <c r="U57" s="29">
        <f t="shared" si="6"/>
        <v>7.6851851851851855E-3</v>
      </c>
      <c r="V57" s="31">
        <f t="shared" si="1"/>
        <v>0</v>
      </c>
      <c r="W57" s="29" t="e">
        <f t="shared" si="2"/>
        <v>#REF!</v>
      </c>
      <c r="X57" s="29" t="e">
        <f t="shared" si="3"/>
        <v>#REF!</v>
      </c>
      <c r="Y57" s="29" t="e">
        <f t="shared" si="4"/>
        <v>#REF!</v>
      </c>
      <c r="Z57" s="7" t="e">
        <f t="shared" si="5"/>
        <v>#REF!</v>
      </c>
      <c r="AA57" s="1" t="e">
        <f>VLOOKUP(C57,'Calculo Demanda'!#REF!,2,0)</f>
        <v>#REF!</v>
      </c>
    </row>
    <row r="58" spans="1:27" x14ac:dyDescent="0.25">
      <c r="A58" s="1">
        <v>55</v>
      </c>
      <c r="B58" s="5" t="s">
        <v>11</v>
      </c>
      <c r="C58" s="121" t="s">
        <v>253</v>
      </c>
      <c r="D58" s="5" t="s">
        <v>246</v>
      </c>
      <c r="E58" s="6" t="s">
        <v>81</v>
      </c>
      <c r="F58" s="76">
        <f>VLOOKUP(D58,Driver!$D$4:$AC$78,13,0)</f>
        <v>0</v>
      </c>
      <c r="G58" s="76">
        <f>VLOOKUP(D58,Driver!$D$4:$AC$78,14,0)</f>
        <v>35</v>
      </c>
      <c r="H58" s="76">
        <f>VLOOKUP(D58,Driver!$D$4:$AC$78,15,0)</f>
        <v>0</v>
      </c>
      <c r="I58" s="76">
        <f>VLOOKUP(D58,Driver!$D$4:$AC$78,16,0)</f>
        <v>38</v>
      </c>
      <c r="J58" s="76">
        <f>VLOOKUP(D58,Driver!$D$4:$AC$78,17,0)</f>
        <v>0</v>
      </c>
      <c r="K58" s="76">
        <f>VLOOKUP(D58,Driver!$D$4:$AC$78,18,0)</f>
        <v>32</v>
      </c>
      <c r="L58" s="76">
        <f>VLOOKUP(D58,Driver!$D$4:$AC$78,19,0)</f>
        <v>0</v>
      </c>
      <c r="M58" s="76">
        <f>VLOOKUP(D58,Driver!$D$4:$AC$78,20,0)</f>
        <v>0</v>
      </c>
      <c r="N58" s="76">
        <f>VLOOKUP(D58,Driver!$D$4:$AC$78,21,0)</f>
        <v>0</v>
      </c>
      <c r="O58" s="76">
        <f>VLOOKUP(D58,Driver!$D$4:$AC$78,22,0)</f>
        <v>45</v>
      </c>
      <c r="P58" s="76">
        <f>VLOOKUP(D58,Driver!$D$4:$AC$78,23,0)</f>
        <v>0</v>
      </c>
      <c r="Q58" s="76">
        <f>VLOOKUP(D58,Driver!$D$4:$AC$78,24,0)</f>
        <v>41</v>
      </c>
      <c r="R58" s="76">
        <f>VLOOKUP(D58,Driver!$D$4:$AC$78,25,0)</f>
        <v>0</v>
      </c>
      <c r="S58" s="76">
        <f>VLOOKUP(D58,Driver!$D$4:$AC$78,26,0)</f>
        <v>39</v>
      </c>
      <c r="T58" s="29">
        <f t="shared" si="0"/>
        <v>2.75E-2</v>
      </c>
      <c r="U58" s="29">
        <f t="shared" si="6"/>
        <v>2.3240740740740742E-2</v>
      </c>
      <c r="V58" s="31">
        <f t="shared" si="1"/>
        <v>0</v>
      </c>
      <c r="W58" s="29" t="e">
        <f t="shared" si="2"/>
        <v>#REF!</v>
      </c>
      <c r="X58" s="29" t="e">
        <f t="shared" si="3"/>
        <v>#REF!</v>
      </c>
      <c r="Y58" s="29" t="e">
        <f t="shared" si="4"/>
        <v>#REF!</v>
      </c>
      <c r="Z58" s="7" t="e">
        <f t="shared" si="5"/>
        <v>#REF!</v>
      </c>
      <c r="AA58" s="1" t="e">
        <f>VLOOKUP(C58,'Calculo Demanda'!#REF!,2,0)</f>
        <v>#REF!</v>
      </c>
    </row>
    <row r="59" spans="1:27" x14ac:dyDescent="0.25">
      <c r="A59" s="1">
        <v>56</v>
      </c>
      <c r="B59" s="5" t="s">
        <v>11</v>
      </c>
      <c r="C59" s="121" t="s">
        <v>253</v>
      </c>
      <c r="D59" s="5" t="s">
        <v>183</v>
      </c>
      <c r="E59" s="6" t="s">
        <v>83</v>
      </c>
      <c r="F59" s="76">
        <f>VLOOKUP(D59,Driver!$D$4:$AC$78,13,0)</f>
        <v>0</v>
      </c>
      <c r="G59" s="76">
        <f>VLOOKUP(D59,Driver!$D$4:$AC$78,14,0)</f>
        <v>13</v>
      </c>
      <c r="H59" s="76">
        <f>VLOOKUP(D59,Driver!$D$4:$AC$78,15,0)</f>
        <v>0</v>
      </c>
      <c r="I59" s="76">
        <f>VLOOKUP(D59,Driver!$D$4:$AC$78,16,0)</f>
        <v>15</v>
      </c>
      <c r="J59" s="76">
        <f>VLOOKUP(D59,Driver!$D$4:$AC$78,17,0)</f>
        <v>0</v>
      </c>
      <c r="K59" s="76">
        <f>VLOOKUP(D59,Driver!$D$4:$AC$78,18,0)</f>
        <v>15</v>
      </c>
      <c r="L59" s="76">
        <f>VLOOKUP(D59,Driver!$D$4:$AC$78,19,0)</f>
        <v>0</v>
      </c>
      <c r="M59" s="76">
        <f>VLOOKUP(D59,Driver!$D$4:$AC$78,20,0)</f>
        <v>0</v>
      </c>
      <c r="N59" s="76">
        <f>VLOOKUP(D59,Driver!$D$4:$AC$78,21,0)</f>
        <v>0</v>
      </c>
      <c r="O59" s="76">
        <f>VLOOKUP(D59,Driver!$D$4:$AC$78,22,0)</f>
        <v>41</v>
      </c>
      <c r="P59" s="76">
        <f>VLOOKUP(D59,Driver!$D$4:$AC$78,23,0)</f>
        <v>0</v>
      </c>
      <c r="Q59" s="76">
        <f>VLOOKUP(D59,Driver!$D$4:$AC$78,24,0)</f>
        <v>44</v>
      </c>
      <c r="R59" s="76">
        <f>VLOOKUP(D59,Driver!$D$4:$AC$78,25,0)</f>
        <v>0</v>
      </c>
      <c r="S59" s="76">
        <f>VLOOKUP(D59,Driver!$D$4:$AC$78,26,0)</f>
        <v>39</v>
      </c>
      <c r="T59" s="29">
        <f t="shared" si="0"/>
        <v>2.7222222222222221E-2</v>
      </c>
      <c r="U59" s="29">
        <f t="shared" si="6"/>
        <v>9.1666666666666667E-3</v>
      </c>
      <c r="V59" s="31">
        <f t="shared" si="1"/>
        <v>0</v>
      </c>
      <c r="W59" s="29" t="e">
        <f t="shared" si="2"/>
        <v>#REF!</v>
      </c>
      <c r="X59" s="29" t="e">
        <f t="shared" si="3"/>
        <v>#REF!</v>
      </c>
      <c r="Y59" s="29" t="e">
        <f t="shared" si="4"/>
        <v>#REF!</v>
      </c>
      <c r="Z59" s="7" t="e">
        <f t="shared" si="5"/>
        <v>#REF!</v>
      </c>
      <c r="AA59" s="1" t="e">
        <f>VLOOKUP(C59,'Calculo Demanda'!#REF!,2,0)</f>
        <v>#REF!</v>
      </c>
    </row>
    <row r="60" spans="1:27" x14ac:dyDescent="0.25">
      <c r="A60" s="1">
        <v>57</v>
      </c>
      <c r="B60" s="5" t="s">
        <v>11</v>
      </c>
      <c r="C60" s="121" t="s">
        <v>253</v>
      </c>
      <c r="D60" s="5" t="s">
        <v>205</v>
      </c>
      <c r="E60" s="6" t="s">
        <v>89</v>
      </c>
      <c r="F60" s="76">
        <f>VLOOKUP(D60,Driver!$D$4:$AC$78,13,0)</f>
        <v>0</v>
      </c>
      <c r="G60" s="76">
        <f>VLOOKUP(D60,Driver!$D$4:$AC$78,14,0)</f>
        <v>8</v>
      </c>
      <c r="H60" s="76">
        <f>VLOOKUP(D60,Driver!$D$4:$AC$78,15,0)</f>
        <v>0</v>
      </c>
      <c r="I60" s="76">
        <f>VLOOKUP(D60,Driver!$D$4:$AC$78,16,0)</f>
        <v>7</v>
      </c>
      <c r="J60" s="76">
        <f>VLOOKUP(D60,Driver!$D$4:$AC$78,17,0)</f>
        <v>0</v>
      </c>
      <c r="K60" s="76">
        <f>VLOOKUP(D60,Driver!$D$4:$AC$78,18,0)</f>
        <v>8</v>
      </c>
      <c r="L60" s="76">
        <f>VLOOKUP(D60,Driver!$D$4:$AC$78,19,0)</f>
        <v>0</v>
      </c>
      <c r="M60" s="76">
        <f>VLOOKUP(D60,Driver!$D$4:$AC$78,20,0)</f>
        <v>0</v>
      </c>
      <c r="N60" s="76">
        <f>VLOOKUP(D60,Driver!$D$4:$AC$78,21,0)</f>
        <v>0</v>
      </c>
      <c r="O60" s="76">
        <f>VLOOKUP(D60,Driver!$D$4:$AC$78,22,0)</f>
        <v>51</v>
      </c>
      <c r="P60" s="76">
        <f>VLOOKUP(D60,Driver!$D$4:$AC$78,23,0)</f>
        <v>0</v>
      </c>
      <c r="Q60" s="76">
        <f>VLOOKUP(D60,Driver!$D$4:$AC$78,24,0)</f>
        <v>50</v>
      </c>
      <c r="R60" s="76">
        <f>VLOOKUP(D60,Driver!$D$4:$AC$78,25,0)</f>
        <v>0</v>
      </c>
      <c r="S60" s="76">
        <f>VLOOKUP(D60,Driver!$D$4:$AC$78,26,0)</f>
        <v>53</v>
      </c>
      <c r="T60" s="29">
        <f t="shared" si="0"/>
        <v>3.2962962962962965E-2</v>
      </c>
      <c r="U60" s="29">
        <f t="shared" si="6"/>
        <v>4.9074074074074081E-3</v>
      </c>
      <c r="V60" s="31">
        <f t="shared" si="1"/>
        <v>0</v>
      </c>
      <c r="W60" s="29" t="e">
        <f t="shared" si="2"/>
        <v>#REF!</v>
      </c>
      <c r="X60" s="29" t="e">
        <f t="shared" si="3"/>
        <v>#REF!</v>
      </c>
      <c r="Y60" s="29" t="e">
        <f t="shared" si="4"/>
        <v>#REF!</v>
      </c>
      <c r="Z60" s="7" t="e">
        <f t="shared" si="5"/>
        <v>#REF!</v>
      </c>
      <c r="AA60" s="1" t="e">
        <f>VLOOKUP(C60,'Calculo Demanda'!#REF!,2,0)</f>
        <v>#REF!</v>
      </c>
    </row>
    <row r="61" spans="1:27" x14ac:dyDescent="0.25">
      <c r="A61" s="1">
        <v>58</v>
      </c>
      <c r="B61" s="5" t="s">
        <v>11</v>
      </c>
      <c r="C61" s="121" t="s">
        <v>253</v>
      </c>
      <c r="D61" s="5" t="s">
        <v>180</v>
      </c>
      <c r="E61" s="6" t="s">
        <v>91</v>
      </c>
      <c r="F61" s="76">
        <f>VLOOKUP(D61,Driver!$D$4:$AC$78,13,0)</f>
        <v>0</v>
      </c>
      <c r="G61" s="76">
        <f>VLOOKUP(D61,Driver!$D$4:$AC$78,14,0)</f>
        <v>23</v>
      </c>
      <c r="H61" s="76">
        <f>VLOOKUP(D61,Driver!$D$4:$AC$78,15,0)</f>
        <v>0</v>
      </c>
      <c r="I61" s="76">
        <f>VLOOKUP(D61,Driver!$D$4:$AC$78,16,0)</f>
        <v>24</v>
      </c>
      <c r="J61" s="76">
        <f>VLOOKUP(D61,Driver!$D$4:$AC$78,17,0)</f>
        <v>0</v>
      </c>
      <c r="K61" s="76">
        <f>VLOOKUP(D61,Driver!$D$4:$AC$78,18,0)</f>
        <v>22</v>
      </c>
      <c r="L61" s="76">
        <f>VLOOKUP(D61,Driver!$D$4:$AC$78,19,0)</f>
        <v>0</v>
      </c>
      <c r="M61" s="76">
        <f>VLOOKUP(D61,Driver!$D$4:$AC$78,20,0)</f>
        <v>0</v>
      </c>
      <c r="N61" s="76">
        <f>VLOOKUP(D61,Driver!$D$4:$AC$78,21,0)</f>
        <v>0</v>
      </c>
      <c r="O61" s="76">
        <f>VLOOKUP(D61,Driver!$D$4:$AC$78,22,0)</f>
        <v>25</v>
      </c>
      <c r="P61" s="76">
        <f>VLOOKUP(D61,Driver!$D$4:$AC$78,23,0)</f>
        <v>0</v>
      </c>
      <c r="Q61" s="76">
        <f>VLOOKUP(D61,Driver!$D$4:$AC$78,24,0)</f>
        <v>28</v>
      </c>
      <c r="R61" s="76">
        <f>VLOOKUP(D61,Driver!$D$4:$AC$78,25,0)</f>
        <v>0</v>
      </c>
      <c r="S61" s="76">
        <f>VLOOKUP(D61,Driver!$D$4:$AC$78,26,0)</f>
        <v>23</v>
      </c>
      <c r="T61" s="29">
        <f t="shared" si="0"/>
        <v>1.6851851851851851E-2</v>
      </c>
      <c r="U61" s="29">
        <f t="shared" si="6"/>
        <v>1.5092592592592593E-2</v>
      </c>
      <c r="V61" s="31">
        <f t="shared" si="1"/>
        <v>0</v>
      </c>
      <c r="W61" s="29" t="e">
        <f t="shared" si="2"/>
        <v>#REF!</v>
      </c>
      <c r="X61" s="29" t="e">
        <f t="shared" si="3"/>
        <v>#REF!</v>
      </c>
      <c r="Y61" s="29" t="e">
        <f t="shared" si="4"/>
        <v>#REF!</v>
      </c>
      <c r="Z61" s="7" t="e">
        <f t="shared" si="5"/>
        <v>#REF!</v>
      </c>
      <c r="AA61" s="1" t="e">
        <f>VLOOKUP(C61,'Calculo Demanda'!#REF!,2,0)</f>
        <v>#REF!</v>
      </c>
    </row>
    <row r="62" spans="1:27" x14ac:dyDescent="0.25">
      <c r="A62" s="1">
        <v>59</v>
      </c>
      <c r="B62" s="5" t="s">
        <v>11</v>
      </c>
      <c r="C62" s="121" t="s">
        <v>253</v>
      </c>
      <c r="D62" s="5" t="s">
        <v>190</v>
      </c>
      <c r="E62" s="6" t="s">
        <v>94</v>
      </c>
      <c r="F62" s="76">
        <f>VLOOKUP(D62,Driver!$D$4:$AC$78,13,0)</f>
        <v>0</v>
      </c>
      <c r="G62" s="76">
        <f>VLOOKUP(D62,Driver!$D$4:$AC$78,14,0)</f>
        <v>3</v>
      </c>
      <c r="H62" s="76">
        <f>VLOOKUP(D62,Driver!$D$4:$AC$78,15,0)</f>
        <v>0</v>
      </c>
      <c r="I62" s="76">
        <f>VLOOKUP(D62,Driver!$D$4:$AC$78,16,0)</f>
        <v>4</v>
      </c>
      <c r="J62" s="76">
        <f>VLOOKUP(D62,Driver!$D$4:$AC$78,17,0)</f>
        <v>0</v>
      </c>
      <c r="K62" s="76">
        <f>VLOOKUP(D62,Driver!$D$4:$AC$78,18,0)</f>
        <v>3</v>
      </c>
      <c r="L62" s="76">
        <f>VLOOKUP(D62,Driver!$D$4:$AC$78,19,0)</f>
        <v>0</v>
      </c>
      <c r="M62" s="76">
        <f>VLOOKUP(D62,Driver!$D$4:$AC$78,20,0)</f>
        <v>0</v>
      </c>
      <c r="N62" s="76">
        <f>VLOOKUP(D62,Driver!$D$4:$AC$78,21,0)</f>
        <v>0</v>
      </c>
      <c r="O62" s="76">
        <f>VLOOKUP(D62,Driver!$D$4:$AC$78,22,0)</f>
        <v>19</v>
      </c>
      <c r="P62" s="76">
        <f>VLOOKUP(D62,Driver!$D$4:$AC$78,23,0)</f>
        <v>0</v>
      </c>
      <c r="Q62" s="76">
        <f>VLOOKUP(D62,Driver!$D$4:$AC$78,24,0)</f>
        <v>20</v>
      </c>
      <c r="R62" s="76">
        <f>VLOOKUP(D62,Driver!$D$4:$AC$78,25,0)</f>
        <v>0</v>
      </c>
      <c r="S62" s="76">
        <f>VLOOKUP(D62,Driver!$D$4:$AC$78,26,0)</f>
        <v>18</v>
      </c>
      <c r="T62" s="29">
        <f t="shared" si="0"/>
        <v>1.2500000000000001E-2</v>
      </c>
      <c r="U62" s="29">
        <f t="shared" si="6"/>
        <v>2.2222222222222222E-3</v>
      </c>
      <c r="V62" s="31">
        <f t="shared" si="1"/>
        <v>0</v>
      </c>
      <c r="W62" s="29" t="e">
        <f t="shared" si="2"/>
        <v>#REF!</v>
      </c>
      <c r="X62" s="29" t="e">
        <f t="shared" si="3"/>
        <v>#REF!</v>
      </c>
      <c r="Y62" s="29" t="e">
        <f t="shared" si="4"/>
        <v>#REF!</v>
      </c>
      <c r="Z62" s="7" t="e">
        <f t="shared" si="5"/>
        <v>#REF!</v>
      </c>
      <c r="AA62" s="1" t="e">
        <f>VLOOKUP(C62,'Calculo Demanda'!#REF!,2,0)</f>
        <v>#REF!</v>
      </c>
    </row>
    <row r="63" spans="1:27" x14ac:dyDescent="0.25">
      <c r="A63" s="1">
        <v>60</v>
      </c>
      <c r="B63" s="5" t="s">
        <v>11</v>
      </c>
      <c r="C63" s="121" t="s">
        <v>253</v>
      </c>
      <c r="D63" s="5" t="s">
        <v>200</v>
      </c>
      <c r="E63" s="6" t="s">
        <v>107</v>
      </c>
      <c r="F63" s="76">
        <f>VLOOKUP(D63,Driver!$D$4:$AC$78,13,0)</f>
        <v>0</v>
      </c>
      <c r="G63" s="76">
        <f>VLOOKUP(D63,Driver!$D$4:$AC$78,14,0)</f>
        <v>7</v>
      </c>
      <c r="H63" s="76">
        <f>VLOOKUP(D63,Driver!$D$4:$AC$78,15,0)</f>
        <v>0</v>
      </c>
      <c r="I63" s="76">
        <f>VLOOKUP(D63,Driver!$D$4:$AC$78,16,0)</f>
        <v>6</v>
      </c>
      <c r="J63" s="76">
        <f>VLOOKUP(D63,Driver!$D$4:$AC$78,17,0)</f>
        <v>0</v>
      </c>
      <c r="K63" s="76">
        <f>VLOOKUP(D63,Driver!$D$4:$AC$78,18,0)</f>
        <v>8</v>
      </c>
      <c r="L63" s="76">
        <f>VLOOKUP(D63,Driver!$D$4:$AC$78,19,0)</f>
        <v>0</v>
      </c>
      <c r="M63" s="76">
        <f>VLOOKUP(D63,Driver!$D$4:$AC$78,20,0)</f>
        <v>0</v>
      </c>
      <c r="N63" s="76">
        <f>VLOOKUP(D63,Driver!$D$4:$AC$78,21,0)</f>
        <v>0</v>
      </c>
      <c r="O63" s="76">
        <f>VLOOKUP(D63,Driver!$D$4:$AC$78,22,0)</f>
        <v>17</v>
      </c>
      <c r="P63" s="76">
        <f>VLOOKUP(D63,Driver!$D$4:$AC$78,23,0)</f>
        <v>0</v>
      </c>
      <c r="Q63" s="76">
        <f>VLOOKUP(D63,Driver!$D$4:$AC$78,24,0)</f>
        <v>20</v>
      </c>
      <c r="R63" s="76">
        <f>VLOOKUP(D63,Driver!$D$4:$AC$78,25,0)</f>
        <v>0</v>
      </c>
      <c r="S63" s="76">
        <f>VLOOKUP(D63,Driver!$D$4:$AC$78,26,0)</f>
        <v>28</v>
      </c>
      <c r="T63" s="29">
        <f t="shared" si="0"/>
        <v>1.2870370370370371E-2</v>
      </c>
      <c r="U63" s="29">
        <f t="shared" si="6"/>
        <v>4.3518518518518515E-3</v>
      </c>
      <c r="V63" s="31">
        <f t="shared" si="1"/>
        <v>0</v>
      </c>
      <c r="W63" s="29" t="e">
        <f t="shared" si="2"/>
        <v>#REF!</v>
      </c>
      <c r="X63" s="29" t="e">
        <f t="shared" si="3"/>
        <v>#REF!</v>
      </c>
      <c r="Y63" s="29" t="e">
        <f t="shared" si="4"/>
        <v>#REF!</v>
      </c>
      <c r="Z63" s="7" t="e">
        <f t="shared" si="5"/>
        <v>#REF!</v>
      </c>
      <c r="AA63" s="1" t="e">
        <f>VLOOKUP(C63,'Calculo Demanda'!#REF!,2,0)</f>
        <v>#REF!</v>
      </c>
    </row>
    <row r="64" spans="1:27" x14ac:dyDescent="0.25">
      <c r="A64" s="1">
        <v>61</v>
      </c>
      <c r="B64" s="5" t="s">
        <v>11</v>
      </c>
      <c r="C64" s="121" t="s">
        <v>253</v>
      </c>
      <c r="D64" s="5" t="s">
        <v>185</v>
      </c>
      <c r="E64" s="3" t="s">
        <v>151</v>
      </c>
      <c r="F64" s="76">
        <f>VLOOKUP(D64,Driver!$D$4:$AC$78,13,0)</f>
        <v>0</v>
      </c>
      <c r="G64" s="76">
        <f>VLOOKUP(D64,Driver!$D$4:$AC$78,14,0)</f>
        <v>18</v>
      </c>
      <c r="H64" s="76">
        <f>VLOOKUP(D64,Driver!$D$4:$AC$78,15,0)</f>
        <v>0</v>
      </c>
      <c r="I64" s="76">
        <f>VLOOKUP(D64,Driver!$D$4:$AC$78,16,0)</f>
        <v>20</v>
      </c>
      <c r="J64" s="76">
        <f>VLOOKUP(D64,Driver!$D$4:$AC$78,17,0)</f>
        <v>0</v>
      </c>
      <c r="K64" s="76">
        <f>VLOOKUP(D64,Driver!$D$4:$AC$78,18,0)</f>
        <v>16</v>
      </c>
      <c r="L64" s="76">
        <f>VLOOKUP(D64,Driver!$D$4:$AC$78,19,0)</f>
        <v>0</v>
      </c>
      <c r="M64" s="76">
        <f>VLOOKUP(D64,Driver!$D$4:$AC$78,20,0)</f>
        <v>0</v>
      </c>
      <c r="N64" s="76">
        <f>VLOOKUP(D64,Driver!$D$4:$AC$78,21,0)</f>
        <v>0</v>
      </c>
      <c r="O64" s="76">
        <f>VLOOKUP(D64,Driver!$D$4:$AC$78,22,0)</f>
        <v>22</v>
      </c>
      <c r="P64" s="76">
        <f>VLOOKUP(D64,Driver!$D$4:$AC$78,23,0)</f>
        <v>0</v>
      </c>
      <c r="Q64" s="76">
        <f>VLOOKUP(D64,Driver!$D$4:$AC$78,24,0)</f>
        <v>20</v>
      </c>
      <c r="R64" s="76">
        <f>VLOOKUP(D64,Driver!$D$4:$AC$78,25,0)</f>
        <v>0</v>
      </c>
      <c r="S64" s="76">
        <f>VLOOKUP(D64,Driver!$D$4:$AC$78,26,0)</f>
        <v>17</v>
      </c>
      <c r="T64" s="29">
        <f t="shared" si="0"/>
        <v>1.324074074074074E-2</v>
      </c>
      <c r="U64" s="29">
        <f t="shared" si="6"/>
        <v>1.2037037037037037E-2</v>
      </c>
      <c r="V64" s="31">
        <f t="shared" si="1"/>
        <v>0</v>
      </c>
      <c r="W64" s="29" t="e">
        <f t="shared" si="2"/>
        <v>#REF!</v>
      </c>
      <c r="X64" s="29" t="e">
        <f t="shared" si="3"/>
        <v>#REF!</v>
      </c>
      <c r="Y64" s="29" t="e">
        <f t="shared" si="4"/>
        <v>#REF!</v>
      </c>
      <c r="Z64" s="7" t="e">
        <f t="shared" si="5"/>
        <v>#REF!</v>
      </c>
      <c r="AA64" s="1" t="e">
        <f>VLOOKUP(C64,'Calculo Demanda'!#REF!,2,0)</f>
        <v>#REF!</v>
      </c>
    </row>
    <row r="65" spans="1:27" x14ac:dyDescent="0.25">
      <c r="A65" s="1">
        <v>62</v>
      </c>
      <c r="B65" s="5" t="s">
        <v>11</v>
      </c>
      <c r="C65" s="121" t="s">
        <v>253</v>
      </c>
      <c r="D65" s="5" t="s">
        <v>198</v>
      </c>
      <c r="E65" s="6" t="s">
        <v>116</v>
      </c>
      <c r="F65" s="76">
        <f>VLOOKUP(D65,Driver!$D$4:$AC$78,13,0)</f>
        <v>0</v>
      </c>
      <c r="G65" s="76">
        <f>VLOOKUP(D65,Driver!$D$4:$AC$78,14,0)</f>
        <v>11</v>
      </c>
      <c r="H65" s="76">
        <f>VLOOKUP(D65,Driver!$D$4:$AC$78,15,0)</f>
        <v>0</v>
      </c>
      <c r="I65" s="76">
        <f>VLOOKUP(D65,Driver!$D$4:$AC$78,16,0)</f>
        <v>8</v>
      </c>
      <c r="J65" s="76">
        <f>VLOOKUP(D65,Driver!$D$4:$AC$78,17,0)</f>
        <v>0</v>
      </c>
      <c r="K65" s="76">
        <f>VLOOKUP(D65,Driver!$D$4:$AC$78,18,0)</f>
        <v>10</v>
      </c>
      <c r="L65" s="76">
        <f>VLOOKUP(D65,Driver!$D$4:$AC$78,19,0)</f>
        <v>0</v>
      </c>
      <c r="M65" s="76">
        <f>VLOOKUP(D65,Driver!$D$4:$AC$78,20,0)</f>
        <v>0</v>
      </c>
      <c r="N65" s="76">
        <f>VLOOKUP(D65,Driver!$D$4:$AC$78,21,0)</f>
        <v>0</v>
      </c>
      <c r="O65" s="76">
        <f>VLOOKUP(D65,Driver!$D$4:$AC$78,22,0)</f>
        <v>28</v>
      </c>
      <c r="P65" s="76">
        <f>VLOOKUP(D65,Driver!$D$4:$AC$78,23,0)</f>
        <v>0</v>
      </c>
      <c r="Q65" s="76">
        <f>VLOOKUP(D65,Driver!$D$4:$AC$78,24,0)</f>
        <v>32</v>
      </c>
      <c r="R65" s="76">
        <f>VLOOKUP(D65,Driver!$D$4:$AC$78,25,0)</f>
        <v>0</v>
      </c>
      <c r="S65" s="76">
        <f>VLOOKUP(D65,Driver!$D$4:$AC$78,26,0)</f>
        <v>31</v>
      </c>
      <c r="T65" s="29">
        <f t="shared" si="0"/>
        <v>1.9537037037037037E-2</v>
      </c>
      <c r="U65" s="29">
        <f t="shared" si="6"/>
        <v>6.2037037037037035E-3</v>
      </c>
      <c r="V65" s="31">
        <f t="shared" si="1"/>
        <v>0</v>
      </c>
      <c r="W65" s="29" t="e">
        <f t="shared" si="2"/>
        <v>#REF!</v>
      </c>
      <c r="X65" s="29" t="e">
        <f t="shared" si="3"/>
        <v>#REF!</v>
      </c>
      <c r="Y65" s="29" t="e">
        <f t="shared" si="4"/>
        <v>#REF!</v>
      </c>
      <c r="Z65" s="7" t="e">
        <f t="shared" si="5"/>
        <v>#REF!</v>
      </c>
      <c r="AA65" s="1" t="e">
        <f>VLOOKUP(C65,'Calculo Demanda'!#REF!,2,0)</f>
        <v>#REF!</v>
      </c>
    </row>
    <row r="66" spans="1:27" x14ac:dyDescent="0.25">
      <c r="A66" s="1">
        <v>63</v>
      </c>
      <c r="B66" s="5" t="s">
        <v>11</v>
      </c>
      <c r="C66" s="121" t="s">
        <v>253</v>
      </c>
      <c r="D66" s="5" t="s">
        <v>203</v>
      </c>
      <c r="E66" s="6" t="s">
        <v>119</v>
      </c>
      <c r="F66" s="76">
        <f>VLOOKUP(D66,Driver!$D$4:$AC$78,13,0)</f>
        <v>0</v>
      </c>
      <c r="G66" s="76">
        <f>VLOOKUP(D66,Driver!$D$4:$AC$78,14,0)</f>
        <v>7</v>
      </c>
      <c r="H66" s="76">
        <f>VLOOKUP(D66,Driver!$D$4:$AC$78,15,0)</f>
        <v>0</v>
      </c>
      <c r="I66" s="76">
        <f>VLOOKUP(D66,Driver!$D$4:$AC$78,16,0)</f>
        <v>8</v>
      </c>
      <c r="J66" s="76">
        <f>VLOOKUP(D66,Driver!$D$4:$AC$78,17,0)</f>
        <v>0</v>
      </c>
      <c r="K66" s="76">
        <f>VLOOKUP(D66,Driver!$D$4:$AC$78,18,0)</f>
        <v>8</v>
      </c>
      <c r="L66" s="76">
        <f>VLOOKUP(D66,Driver!$D$4:$AC$78,19,0)</f>
        <v>0</v>
      </c>
      <c r="M66" s="76">
        <f>VLOOKUP(D66,Driver!$D$4:$AC$78,20,0)</f>
        <v>0</v>
      </c>
      <c r="N66" s="76">
        <f>VLOOKUP(D66,Driver!$D$4:$AC$78,21,0)</f>
        <v>0</v>
      </c>
      <c r="O66" s="76">
        <f>VLOOKUP(D66,Driver!$D$4:$AC$78,22,0)</f>
        <v>15</v>
      </c>
      <c r="P66" s="76">
        <f>VLOOKUP(D66,Driver!$D$4:$AC$78,23,0)</f>
        <v>0</v>
      </c>
      <c r="Q66" s="76">
        <f>VLOOKUP(D66,Driver!$D$4:$AC$78,24,0)</f>
        <v>18</v>
      </c>
      <c r="R66" s="76">
        <f>VLOOKUP(D66,Driver!$D$4:$AC$78,25,0)</f>
        <v>0</v>
      </c>
      <c r="S66" s="76">
        <f>VLOOKUP(D66,Driver!$D$4:$AC$78,26,0)</f>
        <v>17</v>
      </c>
      <c r="T66" s="29">
        <f t="shared" si="0"/>
        <v>1.074074074074074E-2</v>
      </c>
      <c r="U66" s="29">
        <f t="shared" si="6"/>
        <v>4.9074074074074081E-3</v>
      </c>
      <c r="V66" s="31">
        <f t="shared" si="1"/>
        <v>0</v>
      </c>
      <c r="W66" s="29" t="e">
        <f t="shared" si="2"/>
        <v>#REF!</v>
      </c>
      <c r="X66" s="29" t="e">
        <f t="shared" si="3"/>
        <v>#REF!</v>
      </c>
      <c r="Y66" s="29" t="e">
        <f t="shared" si="4"/>
        <v>#REF!</v>
      </c>
      <c r="Z66" s="7" t="e">
        <f t="shared" si="5"/>
        <v>#REF!</v>
      </c>
      <c r="AA66" s="1" t="e">
        <f>VLOOKUP(C66,'Calculo Demanda'!#REF!,2,0)</f>
        <v>#REF!</v>
      </c>
    </row>
    <row r="67" spans="1:27" x14ac:dyDescent="0.25">
      <c r="A67" s="1">
        <v>64</v>
      </c>
      <c r="B67" s="5" t="s">
        <v>11</v>
      </c>
      <c r="C67" s="121" t="s">
        <v>253</v>
      </c>
      <c r="D67" s="5" t="s">
        <v>179</v>
      </c>
      <c r="E67" s="6" t="s">
        <v>121</v>
      </c>
      <c r="F67" s="76">
        <f>VLOOKUP(D67,Driver!$D$4:$AC$78,13,0)</f>
        <v>0</v>
      </c>
      <c r="G67" s="76">
        <f>VLOOKUP(D67,Driver!$D$4:$AC$78,14,0)</f>
        <v>4</v>
      </c>
      <c r="H67" s="76">
        <f>VLOOKUP(D67,Driver!$D$4:$AC$78,15,0)</f>
        <v>0</v>
      </c>
      <c r="I67" s="76">
        <f>VLOOKUP(D67,Driver!$D$4:$AC$78,16,0)</f>
        <v>5</v>
      </c>
      <c r="J67" s="76">
        <f>VLOOKUP(D67,Driver!$D$4:$AC$78,17,0)</f>
        <v>0</v>
      </c>
      <c r="K67" s="76">
        <f>VLOOKUP(D67,Driver!$D$4:$AC$78,18,0)</f>
        <v>4</v>
      </c>
      <c r="L67" s="76">
        <f>VLOOKUP(D67,Driver!$D$4:$AC$78,19,0)</f>
        <v>0</v>
      </c>
      <c r="M67" s="76">
        <f>VLOOKUP(D67,Driver!$D$4:$AC$78,20,0)</f>
        <v>0</v>
      </c>
      <c r="N67" s="76">
        <f>VLOOKUP(D67,Driver!$D$4:$AC$78,21,0)</f>
        <v>0</v>
      </c>
      <c r="O67" s="76">
        <f>VLOOKUP(D67,Driver!$D$4:$AC$78,22,0)</f>
        <v>14</v>
      </c>
      <c r="P67" s="76">
        <f>VLOOKUP(D67,Driver!$D$4:$AC$78,23,0)</f>
        <v>0</v>
      </c>
      <c r="Q67" s="76">
        <f>VLOOKUP(D67,Driver!$D$4:$AC$78,24,0)</f>
        <v>17</v>
      </c>
      <c r="R67" s="76">
        <f>VLOOKUP(D67,Driver!$D$4:$AC$78,25,0)</f>
        <v>0</v>
      </c>
      <c r="S67" s="76">
        <f>VLOOKUP(D67,Driver!$D$4:$AC$78,26,0)</f>
        <v>13</v>
      </c>
      <c r="T67" s="29">
        <f t="shared" si="0"/>
        <v>9.8148148148148161E-3</v>
      </c>
      <c r="U67" s="29">
        <f t="shared" si="6"/>
        <v>2.8703703703703703E-3</v>
      </c>
      <c r="V67" s="31">
        <f t="shared" si="1"/>
        <v>0</v>
      </c>
      <c r="W67" s="29" t="e">
        <f t="shared" si="2"/>
        <v>#REF!</v>
      </c>
      <c r="X67" s="29" t="e">
        <f t="shared" si="3"/>
        <v>#REF!</v>
      </c>
      <c r="Y67" s="29" t="e">
        <f t="shared" si="4"/>
        <v>#REF!</v>
      </c>
      <c r="Z67" s="7" t="e">
        <f t="shared" si="5"/>
        <v>#REF!</v>
      </c>
      <c r="AA67" s="1" t="e">
        <f>VLOOKUP(C67,'Calculo Demanda'!#REF!,2,0)</f>
        <v>#REF!</v>
      </c>
    </row>
    <row r="68" spans="1:27" x14ac:dyDescent="0.25">
      <c r="A68" s="1">
        <v>65</v>
      </c>
      <c r="B68" s="5" t="s">
        <v>11</v>
      </c>
      <c r="C68" s="121" t="s">
        <v>253</v>
      </c>
      <c r="D68" s="5" t="s">
        <v>184</v>
      </c>
      <c r="E68" s="6" t="s">
        <v>149</v>
      </c>
      <c r="F68" s="76">
        <f>VLOOKUP(D68,Driver!$D$4:$AC$78,13,0)</f>
        <v>0</v>
      </c>
      <c r="G68" s="76">
        <f>VLOOKUP(D68,Driver!$D$4:$AC$78,14,0)</f>
        <v>24</v>
      </c>
      <c r="H68" s="76">
        <f>VLOOKUP(D68,Driver!$D$4:$AC$78,15,0)</f>
        <v>0</v>
      </c>
      <c r="I68" s="76">
        <f>VLOOKUP(D68,Driver!$D$4:$AC$78,16,0)</f>
        <v>26</v>
      </c>
      <c r="J68" s="76">
        <f>VLOOKUP(D68,Driver!$D$4:$AC$78,17,0)</f>
        <v>0</v>
      </c>
      <c r="K68" s="76">
        <f>VLOOKUP(D68,Driver!$D$4:$AC$78,18,0)</f>
        <v>23</v>
      </c>
      <c r="L68" s="76">
        <f>VLOOKUP(D68,Driver!$D$4:$AC$78,19,0)</f>
        <v>0</v>
      </c>
      <c r="M68" s="76">
        <f>VLOOKUP(D68,Driver!$D$4:$AC$78,20,0)</f>
        <v>0</v>
      </c>
      <c r="N68" s="76">
        <f>VLOOKUP(D68,Driver!$D$4:$AC$78,21,0)</f>
        <v>0</v>
      </c>
      <c r="O68" s="76">
        <f>VLOOKUP(D68,Driver!$D$4:$AC$78,22,0)</f>
        <v>24</v>
      </c>
      <c r="P68" s="76">
        <f>VLOOKUP(D68,Driver!$D$4:$AC$78,23,0)</f>
        <v>0</v>
      </c>
      <c r="Q68" s="76">
        <f>VLOOKUP(D68,Driver!$D$4:$AC$78,24,0)</f>
        <v>24</v>
      </c>
      <c r="R68" s="76">
        <f>VLOOKUP(D68,Driver!$D$4:$AC$78,25,0)</f>
        <v>0</v>
      </c>
      <c r="S68" s="76">
        <f>VLOOKUP(D68,Driver!$D$4:$AC$78,26,0)</f>
        <v>22</v>
      </c>
      <c r="T68" s="29">
        <f t="shared" si="0"/>
        <v>1.5370370370370371E-2</v>
      </c>
      <c r="U68" s="29">
        <f t="shared" si="6"/>
        <v>1.6018518518518519E-2</v>
      </c>
      <c r="V68" s="31">
        <f t="shared" si="1"/>
        <v>0</v>
      </c>
      <c r="W68" s="29" t="e">
        <f t="shared" si="2"/>
        <v>#REF!</v>
      </c>
      <c r="X68" s="29" t="e">
        <f t="shared" si="3"/>
        <v>#REF!</v>
      </c>
      <c r="Y68" s="29" t="e">
        <f t="shared" si="4"/>
        <v>#REF!</v>
      </c>
      <c r="Z68" s="7" t="e">
        <f t="shared" si="5"/>
        <v>#REF!</v>
      </c>
      <c r="AA68" s="1" t="e">
        <f>VLOOKUP(C68,'Calculo Demanda'!#REF!,2,0)</f>
        <v>#REF!</v>
      </c>
    </row>
    <row r="69" spans="1:27" x14ac:dyDescent="0.25">
      <c r="A69" s="1">
        <v>66</v>
      </c>
      <c r="B69" s="5" t="s">
        <v>11</v>
      </c>
      <c r="C69" s="121" t="s">
        <v>253</v>
      </c>
      <c r="D69" s="5" t="s">
        <v>186</v>
      </c>
      <c r="E69" s="6" t="s">
        <v>127</v>
      </c>
      <c r="F69" s="76">
        <f>VLOOKUP(D69,Driver!$D$4:$AC$78,13,0)</f>
        <v>0</v>
      </c>
      <c r="G69" s="76">
        <f>VLOOKUP(D69,Driver!$D$4:$AC$78,14,0)</f>
        <v>14</v>
      </c>
      <c r="H69" s="76">
        <f>VLOOKUP(D69,Driver!$D$4:$AC$78,15,0)</f>
        <v>0</v>
      </c>
      <c r="I69" s="76">
        <f>VLOOKUP(D69,Driver!$D$4:$AC$78,16,0)</f>
        <v>17</v>
      </c>
      <c r="J69" s="76">
        <f>VLOOKUP(D69,Driver!$D$4:$AC$78,17,0)</f>
        <v>0</v>
      </c>
      <c r="K69" s="76">
        <f>VLOOKUP(D69,Driver!$D$4:$AC$78,18,0)</f>
        <v>20</v>
      </c>
      <c r="L69" s="76">
        <f>VLOOKUP(D69,Driver!$D$4:$AC$78,19,0)</f>
        <v>0</v>
      </c>
      <c r="M69" s="76">
        <f>VLOOKUP(D69,Driver!$D$4:$AC$78,20,0)</f>
        <v>0</v>
      </c>
      <c r="N69" s="76">
        <f>VLOOKUP(D69,Driver!$D$4:$AC$78,21,0)</f>
        <v>0</v>
      </c>
      <c r="O69" s="76">
        <f>VLOOKUP(D69,Driver!$D$4:$AC$78,22,0)</f>
        <v>24</v>
      </c>
      <c r="P69" s="76">
        <f>VLOOKUP(D69,Driver!$D$4:$AC$78,23,0)</f>
        <v>0</v>
      </c>
      <c r="Q69" s="76">
        <f>VLOOKUP(D69,Driver!$D$4:$AC$78,24,0)</f>
        <v>27</v>
      </c>
      <c r="R69" s="76">
        <f>VLOOKUP(D69,Driver!$D$4:$AC$78,25,0)</f>
        <v>0</v>
      </c>
      <c r="S69" s="76">
        <f>VLOOKUP(D69,Driver!$D$4:$AC$78,26,0)</f>
        <v>23</v>
      </c>
      <c r="T69" s="29">
        <f t="shared" ref="T69:T78" si="7">(((N69+P69+R69)*60)+O69+Q69+S69/3)/3600</f>
        <v>1.6296296296296295E-2</v>
      </c>
      <c r="U69" s="29">
        <f t="shared" si="6"/>
        <v>1.0462962962962962E-2</v>
      </c>
      <c r="V69" s="31">
        <f t="shared" ref="V69:V78" si="8">((L69*60)+M69)/3600</f>
        <v>0</v>
      </c>
      <c r="W69" s="29" t="e">
        <f t="shared" ref="W69:W78" si="9">U69*AA69</f>
        <v>#REF!</v>
      </c>
      <c r="X69" s="29" t="e">
        <f t="shared" ref="X69:X78" si="10">T69*AA69</f>
        <v>#REF!</v>
      </c>
      <c r="Y69" s="29" t="e">
        <f t="shared" ref="Y69:Y78" si="11">V69*AA69</f>
        <v>#REF!</v>
      </c>
      <c r="Z69" s="7" t="e">
        <f t="shared" ref="Z69:Z78" si="12">SUM(W69:Y69)</f>
        <v>#REF!</v>
      </c>
      <c r="AA69" s="1" t="e">
        <f>VLOOKUP(C69,'Calculo Demanda'!#REF!,2,0)</f>
        <v>#REF!</v>
      </c>
    </row>
    <row r="70" spans="1:27" x14ac:dyDescent="0.25">
      <c r="A70" s="1">
        <v>67</v>
      </c>
      <c r="B70" s="5" t="s">
        <v>11</v>
      </c>
      <c r="C70" s="121" t="s">
        <v>253</v>
      </c>
      <c r="D70" s="5" t="s">
        <v>201</v>
      </c>
      <c r="E70" s="6" t="s">
        <v>147</v>
      </c>
      <c r="F70" s="76">
        <f>VLOOKUP(D70,Driver!$D$4:$AC$78,13,0)</f>
        <v>0</v>
      </c>
      <c r="G70" s="76">
        <f>VLOOKUP(D70,Driver!$D$4:$AC$78,14,0)</f>
        <v>13</v>
      </c>
      <c r="H70" s="76">
        <f>VLOOKUP(D70,Driver!$D$4:$AC$78,15,0)</f>
        <v>0</v>
      </c>
      <c r="I70" s="76">
        <f>VLOOKUP(D70,Driver!$D$4:$AC$78,16,0)</f>
        <v>15</v>
      </c>
      <c r="J70" s="76">
        <f>VLOOKUP(D70,Driver!$D$4:$AC$78,17,0)</f>
        <v>0</v>
      </c>
      <c r="K70" s="76">
        <f>VLOOKUP(D70,Driver!$D$4:$AC$78,18,0)</f>
        <v>15</v>
      </c>
      <c r="L70" s="76">
        <f>VLOOKUP(D70,Driver!$D$4:$AC$78,19,0)</f>
        <v>0</v>
      </c>
      <c r="M70" s="76">
        <f>VLOOKUP(D70,Driver!$D$4:$AC$78,20,0)</f>
        <v>0</v>
      </c>
      <c r="N70" s="76">
        <f>VLOOKUP(D70,Driver!$D$4:$AC$78,21,0)</f>
        <v>0</v>
      </c>
      <c r="O70" s="76">
        <f>VLOOKUP(D70,Driver!$D$4:$AC$78,22,0)</f>
        <v>16</v>
      </c>
      <c r="P70" s="76">
        <f>VLOOKUP(D70,Driver!$D$4:$AC$78,23,0)</f>
        <v>0</v>
      </c>
      <c r="Q70" s="76">
        <f>VLOOKUP(D70,Driver!$D$4:$AC$78,24,0)</f>
        <v>18</v>
      </c>
      <c r="R70" s="76">
        <f>VLOOKUP(D70,Driver!$D$4:$AC$78,25,0)</f>
        <v>0</v>
      </c>
      <c r="S70" s="76">
        <f>VLOOKUP(D70,Driver!$D$4:$AC$78,26,0)</f>
        <v>16</v>
      </c>
      <c r="T70" s="29">
        <f t="shared" si="7"/>
        <v>1.0925925925925926E-2</v>
      </c>
      <c r="U70" s="29">
        <f t="shared" ref="U70:U78" si="13">(((F70+H70+J70)*60)+G70+I70+K70/3)/3600</f>
        <v>9.1666666666666667E-3</v>
      </c>
      <c r="V70" s="31">
        <f t="shared" si="8"/>
        <v>0</v>
      </c>
      <c r="W70" s="29" t="e">
        <f t="shared" si="9"/>
        <v>#REF!</v>
      </c>
      <c r="X70" s="29" t="e">
        <f t="shared" si="10"/>
        <v>#REF!</v>
      </c>
      <c r="Y70" s="29" t="e">
        <f t="shared" si="11"/>
        <v>#REF!</v>
      </c>
      <c r="Z70" s="7" t="e">
        <f t="shared" si="12"/>
        <v>#REF!</v>
      </c>
      <c r="AA70" s="1" t="e">
        <f>VLOOKUP(C70,'Calculo Demanda'!#REF!,2,0)</f>
        <v>#REF!</v>
      </c>
    </row>
    <row r="71" spans="1:27" x14ac:dyDescent="0.25">
      <c r="A71" s="1">
        <v>68</v>
      </c>
      <c r="B71" s="5" t="s">
        <v>11</v>
      </c>
      <c r="C71" s="121" t="s">
        <v>253</v>
      </c>
      <c r="D71" s="5" t="s">
        <v>189</v>
      </c>
      <c r="E71" s="6" t="s">
        <v>130</v>
      </c>
      <c r="F71" s="76">
        <f>VLOOKUP(D71,Driver!$D$4:$AC$78,13,0)</f>
        <v>0</v>
      </c>
      <c r="G71" s="76">
        <f>VLOOKUP(D71,Driver!$D$4:$AC$78,14,0)</f>
        <v>5</v>
      </c>
      <c r="H71" s="76">
        <f>VLOOKUP(D71,Driver!$D$4:$AC$78,15,0)</f>
        <v>0</v>
      </c>
      <c r="I71" s="76">
        <f>VLOOKUP(D71,Driver!$D$4:$AC$78,16,0)</f>
        <v>5</v>
      </c>
      <c r="J71" s="76">
        <f>VLOOKUP(D71,Driver!$D$4:$AC$78,17,0)</f>
        <v>0</v>
      </c>
      <c r="K71" s="76">
        <f>VLOOKUP(D71,Driver!$D$4:$AC$78,18,0)</f>
        <v>5</v>
      </c>
      <c r="L71" s="76">
        <f>VLOOKUP(D71,Driver!$D$4:$AC$78,19,0)</f>
        <v>0</v>
      </c>
      <c r="M71" s="76">
        <f>VLOOKUP(D71,Driver!$D$4:$AC$78,20,0)</f>
        <v>0</v>
      </c>
      <c r="N71" s="76">
        <f>VLOOKUP(D71,Driver!$D$4:$AC$78,21,0)</f>
        <v>0</v>
      </c>
      <c r="O71" s="76">
        <f>VLOOKUP(D71,Driver!$D$4:$AC$78,22,0)</f>
        <v>15</v>
      </c>
      <c r="P71" s="76">
        <f>VLOOKUP(D71,Driver!$D$4:$AC$78,23,0)</f>
        <v>0</v>
      </c>
      <c r="Q71" s="76">
        <f>VLOOKUP(D71,Driver!$D$4:$AC$78,24,0)</f>
        <v>13</v>
      </c>
      <c r="R71" s="76">
        <f>VLOOKUP(D71,Driver!$D$4:$AC$78,25,0)</f>
        <v>0</v>
      </c>
      <c r="S71" s="76">
        <f>VLOOKUP(D71,Driver!$D$4:$AC$78,26,0)</f>
        <v>15</v>
      </c>
      <c r="T71" s="29">
        <f t="shared" si="7"/>
        <v>9.1666666666666667E-3</v>
      </c>
      <c r="U71" s="29">
        <f t="shared" si="13"/>
        <v>3.2407407407407406E-3</v>
      </c>
      <c r="V71" s="31">
        <f t="shared" si="8"/>
        <v>0</v>
      </c>
      <c r="W71" s="29" t="e">
        <f t="shared" si="9"/>
        <v>#REF!</v>
      </c>
      <c r="X71" s="29" t="e">
        <f t="shared" si="10"/>
        <v>#REF!</v>
      </c>
      <c r="Y71" s="29" t="e">
        <f t="shared" si="11"/>
        <v>#REF!</v>
      </c>
      <c r="Z71" s="7" t="e">
        <f t="shared" si="12"/>
        <v>#REF!</v>
      </c>
      <c r="AA71" s="1" t="e">
        <f>VLOOKUP(C71,'Calculo Demanda'!#REF!,2,0)</f>
        <v>#REF!</v>
      </c>
    </row>
    <row r="72" spans="1:27" x14ac:dyDescent="0.25">
      <c r="A72" s="1">
        <v>69</v>
      </c>
      <c r="B72" s="5" t="s">
        <v>11</v>
      </c>
      <c r="C72" s="121" t="s">
        <v>253</v>
      </c>
      <c r="D72" s="5" t="s">
        <v>187</v>
      </c>
      <c r="E72" s="6" t="s">
        <v>132</v>
      </c>
      <c r="F72" s="76">
        <f>VLOOKUP(D72,Driver!$D$4:$AC$78,13,0)</f>
        <v>0</v>
      </c>
      <c r="G72" s="76">
        <f>VLOOKUP(D72,Driver!$D$4:$AC$78,14,0)</f>
        <v>13</v>
      </c>
      <c r="H72" s="76">
        <f>VLOOKUP(D72,Driver!$D$4:$AC$78,15,0)</f>
        <v>0</v>
      </c>
      <c r="I72" s="76">
        <f>VLOOKUP(D72,Driver!$D$4:$AC$78,16,0)</f>
        <v>14</v>
      </c>
      <c r="J72" s="76">
        <f>VLOOKUP(D72,Driver!$D$4:$AC$78,17,0)</f>
        <v>0</v>
      </c>
      <c r="K72" s="76">
        <f>VLOOKUP(D72,Driver!$D$4:$AC$78,18,0)</f>
        <v>13</v>
      </c>
      <c r="L72" s="76">
        <f>VLOOKUP(D72,Driver!$D$4:$AC$78,19,0)</f>
        <v>0</v>
      </c>
      <c r="M72" s="76">
        <f>VLOOKUP(D72,Driver!$D$4:$AC$78,20,0)</f>
        <v>0</v>
      </c>
      <c r="N72" s="76">
        <f>VLOOKUP(D72,Driver!$D$4:$AC$78,21,0)</f>
        <v>0</v>
      </c>
      <c r="O72" s="76">
        <f>VLOOKUP(D72,Driver!$D$4:$AC$78,22,0)</f>
        <v>15</v>
      </c>
      <c r="P72" s="76">
        <f>VLOOKUP(D72,Driver!$D$4:$AC$78,23,0)</f>
        <v>0</v>
      </c>
      <c r="Q72" s="76">
        <f>VLOOKUP(D72,Driver!$D$4:$AC$78,24,0)</f>
        <v>12</v>
      </c>
      <c r="R72" s="76">
        <f>VLOOKUP(D72,Driver!$D$4:$AC$78,25,0)</f>
        <v>0</v>
      </c>
      <c r="S72" s="76">
        <f>VLOOKUP(D72,Driver!$D$4:$AC$78,26,0)</f>
        <v>15</v>
      </c>
      <c r="T72" s="29">
        <f t="shared" si="7"/>
        <v>8.8888888888888889E-3</v>
      </c>
      <c r="U72" s="29">
        <f t="shared" si="13"/>
        <v>8.7037037037037031E-3</v>
      </c>
      <c r="V72" s="31">
        <f t="shared" si="8"/>
        <v>0</v>
      </c>
      <c r="W72" s="29" t="e">
        <f t="shared" si="9"/>
        <v>#REF!</v>
      </c>
      <c r="X72" s="29" t="e">
        <f t="shared" si="10"/>
        <v>#REF!</v>
      </c>
      <c r="Y72" s="29" t="e">
        <f t="shared" si="11"/>
        <v>#REF!</v>
      </c>
      <c r="Z72" s="7" t="e">
        <f t="shared" si="12"/>
        <v>#REF!</v>
      </c>
      <c r="AA72" s="1" t="e">
        <f>VLOOKUP(C72,'Calculo Demanda'!#REF!,2,0)</f>
        <v>#REF!</v>
      </c>
    </row>
    <row r="73" spans="1:27" x14ac:dyDescent="0.25">
      <c r="A73" s="1">
        <v>70</v>
      </c>
      <c r="B73" s="5" t="s">
        <v>11</v>
      </c>
      <c r="C73" s="121" t="s">
        <v>253</v>
      </c>
      <c r="D73" s="5" t="s">
        <v>182</v>
      </c>
      <c r="E73" s="6" t="s">
        <v>134</v>
      </c>
      <c r="F73" s="76">
        <f>VLOOKUP(D73,Driver!$D$4:$AC$78,13,0)</f>
        <v>0</v>
      </c>
      <c r="G73" s="76">
        <f>VLOOKUP(D73,Driver!$D$4:$AC$78,14,0)</f>
        <v>6</v>
      </c>
      <c r="H73" s="76">
        <f>VLOOKUP(D73,Driver!$D$4:$AC$78,15,0)</f>
        <v>0</v>
      </c>
      <c r="I73" s="76">
        <f>VLOOKUP(D73,Driver!$D$4:$AC$78,16,0)</f>
        <v>5</v>
      </c>
      <c r="J73" s="76">
        <f>VLOOKUP(D73,Driver!$D$4:$AC$78,17,0)</f>
        <v>0</v>
      </c>
      <c r="K73" s="76">
        <f>VLOOKUP(D73,Driver!$D$4:$AC$78,18,0)</f>
        <v>6</v>
      </c>
      <c r="L73" s="76">
        <f>VLOOKUP(D73,Driver!$D$4:$AC$78,19,0)</f>
        <v>0</v>
      </c>
      <c r="M73" s="76">
        <f>VLOOKUP(D73,Driver!$D$4:$AC$78,20,0)</f>
        <v>0</v>
      </c>
      <c r="N73" s="76">
        <f>VLOOKUP(D73,Driver!$D$4:$AC$78,21,0)</f>
        <v>0</v>
      </c>
      <c r="O73" s="76">
        <f>VLOOKUP(D73,Driver!$D$4:$AC$78,22,0)</f>
        <v>28</v>
      </c>
      <c r="P73" s="76">
        <f>VLOOKUP(D73,Driver!$D$4:$AC$78,23,0)</f>
        <v>0</v>
      </c>
      <c r="Q73" s="76">
        <f>VLOOKUP(D73,Driver!$D$4:$AC$78,24,0)</f>
        <v>28</v>
      </c>
      <c r="R73" s="76">
        <f>VLOOKUP(D73,Driver!$D$4:$AC$78,25,0)</f>
        <v>0</v>
      </c>
      <c r="S73" s="76">
        <f>VLOOKUP(D73,Driver!$D$4:$AC$78,26,0)</f>
        <v>25</v>
      </c>
      <c r="T73" s="29">
        <f t="shared" si="7"/>
        <v>1.787037037037037E-2</v>
      </c>
      <c r="U73" s="29">
        <f t="shared" si="13"/>
        <v>3.6111111111111109E-3</v>
      </c>
      <c r="V73" s="31">
        <f t="shared" si="8"/>
        <v>0</v>
      </c>
      <c r="W73" s="29" t="e">
        <f t="shared" si="9"/>
        <v>#REF!</v>
      </c>
      <c r="X73" s="29" t="e">
        <f t="shared" si="10"/>
        <v>#REF!</v>
      </c>
      <c r="Y73" s="29" t="e">
        <f t="shared" si="11"/>
        <v>#REF!</v>
      </c>
      <c r="Z73" s="7" t="e">
        <f t="shared" si="12"/>
        <v>#REF!</v>
      </c>
      <c r="AA73" s="1" t="e">
        <f>VLOOKUP(C73,'Calculo Demanda'!#REF!,2,0)</f>
        <v>#REF!</v>
      </c>
    </row>
    <row r="74" spans="1:27" x14ac:dyDescent="0.25">
      <c r="A74" s="1">
        <v>71</v>
      </c>
      <c r="B74" s="5" t="s">
        <v>11</v>
      </c>
      <c r="C74" s="121" t="s">
        <v>253</v>
      </c>
      <c r="D74" s="5" t="s">
        <v>177</v>
      </c>
      <c r="E74" s="6" t="s">
        <v>138</v>
      </c>
      <c r="F74" s="76">
        <f>VLOOKUP(D74,Driver!$D$4:$AC$78,13,0)</f>
        <v>0</v>
      </c>
      <c r="G74" s="76">
        <f>VLOOKUP(D74,Driver!$D$4:$AC$78,14,0)</f>
        <v>5</v>
      </c>
      <c r="H74" s="76">
        <f>VLOOKUP(D74,Driver!$D$4:$AC$78,15,0)</f>
        <v>0</v>
      </c>
      <c r="I74" s="76">
        <f>VLOOKUP(D74,Driver!$D$4:$AC$78,16,0)</f>
        <v>5</v>
      </c>
      <c r="J74" s="76">
        <f>VLOOKUP(D74,Driver!$D$4:$AC$78,17,0)</f>
        <v>0</v>
      </c>
      <c r="K74" s="76">
        <f>VLOOKUP(D74,Driver!$D$4:$AC$78,18,0)</f>
        <v>6</v>
      </c>
      <c r="L74" s="76">
        <f>VLOOKUP(D74,Driver!$D$4:$AC$78,19,0)</f>
        <v>0</v>
      </c>
      <c r="M74" s="76">
        <f>VLOOKUP(D74,Driver!$D$4:$AC$78,20,0)</f>
        <v>0</v>
      </c>
      <c r="N74" s="76">
        <f>VLOOKUP(D74,Driver!$D$4:$AC$78,21,0)</f>
        <v>0</v>
      </c>
      <c r="O74" s="76">
        <f>VLOOKUP(D74,Driver!$D$4:$AC$78,22,0)</f>
        <v>11</v>
      </c>
      <c r="P74" s="76">
        <f>VLOOKUP(D74,Driver!$D$4:$AC$78,23,0)</f>
        <v>0</v>
      </c>
      <c r="Q74" s="76">
        <f>VLOOKUP(D74,Driver!$D$4:$AC$78,24,0)</f>
        <v>10</v>
      </c>
      <c r="R74" s="76">
        <f>VLOOKUP(D74,Driver!$D$4:$AC$78,25,0)</f>
        <v>0</v>
      </c>
      <c r="S74" s="76">
        <f>VLOOKUP(D74,Driver!$D$4:$AC$78,26,0)</f>
        <v>9</v>
      </c>
      <c r="T74" s="29">
        <f t="shared" si="7"/>
        <v>6.6666666666666671E-3</v>
      </c>
      <c r="U74" s="29">
        <f t="shared" si="13"/>
        <v>3.3333333333333335E-3</v>
      </c>
      <c r="V74" s="31">
        <f t="shared" si="8"/>
        <v>0</v>
      </c>
      <c r="W74" s="29" t="e">
        <f t="shared" si="9"/>
        <v>#REF!</v>
      </c>
      <c r="X74" s="29" t="e">
        <f t="shared" si="10"/>
        <v>#REF!</v>
      </c>
      <c r="Y74" s="29" t="e">
        <f t="shared" si="11"/>
        <v>#REF!</v>
      </c>
      <c r="Z74" s="7" t="e">
        <f t="shared" si="12"/>
        <v>#REF!</v>
      </c>
      <c r="AA74" s="1" t="e">
        <f>VLOOKUP(C74,'Calculo Demanda'!#REF!,2,0)</f>
        <v>#REF!</v>
      </c>
    </row>
    <row r="75" spans="1:27" x14ac:dyDescent="0.25">
      <c r="A75" s="1">
        <v>72</v>
      </c>
      <c r="B75" s="5" t="s">
        <v>11</v>
      </c>
      <c r="C75" s="121" t="s">
        <v>253</v>
      </c>
      <c r="D75" s="5" t="s">
        <v>188</v>
      </c>
      <c r="E75" s="6" t="s">
        <v>142</v>
      </c>
      <c r="F75" s="76">
        <f>VLOOKUP(D75,Driver!$D$4:$AC$78,13,0)</f>
        <v>0</v>
      </c>
      <c r="G75" s="76">
        <f>VLOOKUP(D75,Driver!$D$4:$AC$78,14,0)</f>
        <v>24</v>
      </c>
      <c r="H75" s="76">
        <f>VLOOKUP(D75,Driver!$D$4:$AC$78,15,0)</f>
        <v>0</v>
      </c>
      <c r="I75" s="76">
        <f>VLOOKUP(D75,Driver!$D$4:$AC$78,16,0)</f>
        <v>29</v>
      </c>
      <c r="J75" s="76">
        <f>VLOOKUP(D75,Driver!$D$4:$AC$78,17,0)</f>
        <v>0</v>
      </c>
      <c r="K75" s="76">
        <f>VLOOKUP(D75,Driver!$D$4:$AC$78,18,0)</f>
        <v>27</v>
      </c>
      <c r="L75" s="76">
        <f>VLOOKUP(D75,Driver!$D$4:$AC$78,19,0)</f>
        <v>0</v>
      </c>
      <c r="M75" s="76">
        <f>VLOOKUP(D75,Driver!$D$4:$AC$78,20,0)</f>
        <v>0</v>
      </c>
      <c r="N75" s="76">
        <f>VLOOKUP(D75,Driver!$D$4:$AC$78,21,0)</f>
        <v>0</v>
      </c>
      <c r="O75" s="76">
        <f>VLOOKUP(D75,Driver!$D$4:$AC$78,22,0)</f>
        <v>35</v>
      </c>
      <c r="P75" s="76">
        <f>VLOOKUP(D75,Driver!$D$4:$AC$78,23,0)</f>
        <v>0</v>
      </c>
      <c r="Q75" s="76">
        <f>VLOOKUP(D75,Driver!$D$4:$AC$78,24,0)</f>
        <v>29</v>
      </c>
      <c r="R75" s="76">
        <f>VLOOKUP(D75,Driver!$D$4:$AC$78,25,0)</f>
        <v>0</v>
      </c>
      <c r="S75" s="76">
        <f>VLOOKUP(D75,Driver!$D$4:$AC$78,26,0)</f>
        <v>28</v>
      </c>
      <c r="T75" s="29">
        <f t="shared" si="7"/>
        <v>2.0370370370370369E-2</v>
      </c>
      <c r="U75" s="29">
        <f t="shared" si="13"/>
        <v>1.7222222222222222E-2</v>
      </c>
      <c r="V75" s="31">
        <f t="shared" si="8"/>
        <v>0</v>
      </c>
      <c r="W75" s="29" t="e">
        <f t="shared" si="9"/>
        <v>#REF!</v>
      </c>
      <c r="X75" s="29" t="e">
        <f t="shared" si="10"/>
        <v>#REF!</v>
      </c>
      <c r="Y75" s="29" t="e">
        <f t="shared" si="11"/>
        <v>#REF!</v>
      </c>
      <c r="Z75" s="7" t="e">
        <f t="shared" si="12"/>
        <v>#REF!</v>
      </c>
      <c r="AA75" s="1" t="e">
        <f>VLOOKUP(C75,'Calculo Demanda'!#REF!,2,0)</f>
        <v>#REF!</v>
      </c>
    </row>
    <row r="76" spans="1:27" x14ac:dyDescent="0.25">
      <c r="A76" s="1">
        <v>73</v>
      </c>
      <c r="B76" s="5" t="s">
        <v>11</v>
      </c>
      <c r="C76" s="121" t="s">
        <v>253</v>
      </c>
      <c r="D76" s="5" t="s">
        <v>170</v>
      </c>
      <c r="E76" s="6" t="s">
        <v>143</v>
      </c>
      <c r="F76" s="76">
        <f>VLOOKUP(D76,Driver!$D$4:$AC$78,13,0)</f>
        <v>0</v>
      </c>
      <c r="G76" s="76">
        <f>VLOOKUP(D76,Driver!$D$4:$AC$78,14,0)</f>
        <v>3</v>
      </c>
      <c r="H76" s="76">
        <f>VLOOKUP(D76,Driver!$D$4:$AC$78,15,0)</f>
        <v>0</v>
      </c>
      <c r="I76" s="76">
        <f>VLOOKUP(D76,Driver!$D$4:$AC$78,16,0)</f>
        <v>3</v>
      </c>
      <c r="J76" s="76">
        <f>VLOOKUP(D76,Driver!$D$4:$AC$78,17,0)</f>
        <v>0</v>
      </c>
      <c r="K76" s="76">
        <f>VLOOKUP(D76,Driver!$D$4:$AC$78,18,0)</f>
        <v>3</v>
      </c>
      <c r="L76" s="76">
        <f>VLOOKUP(D76,Driver!$D$4:$AC$78,19,0)</f>
        <v>0</v>
      </c>
      <c r="M76" s="76">
        <f>VLOOKUP(D76,Driver!$D$4:$AC$78,20,0)</f>
        <v>0</v>
      </c>
      <c r="N76" s="76">
        <f>VLOOKUP(D76,Driver!$D$4:$AC$78,21,0)</f>
        <v>0</v>
      </c>
      <c r="O76" s="76">
        <f>VLOOKUP(D76,Driver!$D$4:$AC$78,22,0)</f>
        <v>22</v>
      </c>
      <c r="P76" s="76">
        <f>VLOOKUP(D76,Driver!$D$4:$AC$78,23,0)</f>
        <v>0</v>
      </c>
      <c r="Q76" s="76">
        <f>VLOOKUP(D76,Driver!$D$4:$AC$78,24,0)</f>
        <v>19</v>
      </c>
      <c r="R76" s="76">
        <f>VLOOKUP(D76,Driver!$D$4:$AC$78,25,0)</f>
        <v>0</v>
      </c>
      <c r="S76" s="76">
        <f>VLOOKUP(D76,Driver!$D$4:$AC$78,26,0)</f>
        <v>21</v>
      </c>
      <c r="T76" s="29">
        <f t="shared" si="7"/>
        <v>1.3333333333333334E-2</v>
      </c>
      <c r="U76" s="29">
        <f t="shared" si="13"/>
        <v>1.9444444444444444E-3</v>
      </c>
      <c r="V76" s="31">
        <f t="shared" si="8"/>
        <v>0</v>
      </c>
      <c r="W76" s="29" t="e">
        <f t="shared" si="9"/>
        <v>#REF!</v>
      </c>
      <c r="X76" s="29" t="e">
        <f t="shared" si="10"/>
        <v>#REF!</v>
      </c>
      <c r="Y76" s="29" t="e">
        <f t="shared" si="11"/>
        <v>#REF!</v>
      </c>
      <c r="Z76" s="7" t="e">
        <f t="shared" si="12"/>
        <v>#REF!</v>
      </c>
      <c r="AA76" s="1" t="e">
        <f>VLOOKUP(C76,'Calculo Demanda'!#REF!,2,0)</f>
        <v>#REF!</v>
      </c>
    </row>
    <row r="77" spans="1:27" x14ac:dyDescent="0.25">
      <c r="A77" s="1">
        <v>74</v>
      </c>
      <c r="B77" s="5" t="s">
        <v>11</v>
      </c>
      <c r="C77" s="121" t="s">
        <v>253</v>
      </c>
      <c r="D77" s="5" t="s">
        <v>197</v>
      </c>
      <c r="E77" s="3" t="s">
        <v>150</v>
      </c>
      <c r="F77" s="76">
        <f>VLOOKUP(D77,Driver!$D$4:$AC$78,13,0)</f>
        <v>0</v>
      </c>
      <c r="G77" s="76">
        <f>VLOOKUP(D77,Driver!$D$4:$AC$78,14,0)</f>
        <v>8</v>
      </c>
      <c r="H77" s="76">
        <f>VLOOKUP(D77,Driver!$D$4:$AC$78,15,0)</f>
        <v>0</v>
      </c>
      <c r="I77" s="76">
        <f>VLOOKUP(D77,Driver!$D$4:$AC$78,16,0)</f>
        <v>9</v>
      </c>
      <c r="J77" s="76">
        <f>VLOOKUP(D77,Driver!$D$4:$AC$78,17,0)</f>
        <v>0</v>
      </c>
      <c r="K77" s="76">
        <f>VLOOKUP(D77,Driver!$D$4:$AC$78,18,0)</f>
        <v>6</v>
      </c>
      <c r="L77" s="76">
        <f>VLOOKUP(D77,Driver!$D$4:$AC$78,19,0)</f>
        <v>0</v>
      </c>
      <c r="M77" s="76">
        <f>VLOOKUP(D77,Driver!$D$4:$AC$78,20,0)</f>
        <v>0</v>
      </c>
      <c r="N77" s="76">
        <f>VLOOKUP(D77,Driver!$D$4:$AC$78,21,0)</f>
        <v>0</v>
      </c>
      <c r="O77" s="76">
        <f>VLOOKUP(D77,Driver!$D$4:$AC$78,22,0)</f>
        <v>26</v>
      </c>
      <c r="P77" s="76">
        <f>VLOOKUP(D77,Driver!$D$4:$AC$78,23,0)</f>
        <v>0</v>
      </c>
      <c r="Q77" s="76">
        <f>VLOOKUP(D77,Driver!$D$4:$AC$78,24,0)</f>
        <v>25</v>
      </c>
      <c r="R77" s="76">
        <f>VLOOKUP(D77,Driver!$D$4:$AC$78,25,0)</f>
        <v>0</v>
      </c>
      <c r="S77" s="76">
        <f>VLOOKUP(D77,Driver!$D$4:$AC$78,26,0)</f>
        <v>20</v>
      </c>
      <c r="T77" s="29">
        <f t="shared" si="7"/>
        <v>1.6018518518518519E-2</v>
      </c>
      <c r="U77" s="29">
        <f t="shared" si="13"/>
        <v>5.2777777777777779E-3</v>
      </c>
      <c r="V77" s="31">
        <f t="shared" si="8"/>
        <v>0</v>
      </c>
      <c r="W77" s="29" t="e">
        <f t="shared" si="9"/>
        <v>#REF!</v>
      </c>
      <c r="X77" s="29" t="e">
        <f t="shared" si="10"/>
        <v>#REF!</v>
      </c>
      <c r="Y77" s="29" t="e">
        <f t="shared" si="11"/>
        <v>#REF!</v>
      </c>
      <c r="Z77" s="7" t="e">
        <f t="shared" si="12"/>
        <v>#REF!</v>
      </c>
      <c r="AA77" s="1" t="e">
        <f>VLOOKUP(C77,'Calculo Demanda'!#REF!,2,0)</f>
        <v>#REF!</v>
      </c>
    </row>
    <row r="78" spans="1:27" x14ac:dyDescent="0.25">
      <c r="A78" s="1">
        <v>75</v>
      </c>
      <c r="B78" s="5" t="s">
        <v>11</v>
      </c>
      <c r="C78" s="121" t="s">
        <v>253</v>
      </c>
      <c r="D78" s="5" t="s">
        <v>202</v>
      </c>
      <c r="E78" s="3" t="s">
        <v>154</v>
      </c>
      <c r="F78" s="76">
        <f>VLOOKUP(D78,Driver!$D$4:$AC$78,13,0)</f>
        <v>1</v>
      </c>
      <c r="G78" s="76">
        <f>VLOOKUP(D78,Driver!$D$4:$AC$78,14,0)</f>
        <v>26</v>
      </c>
      <c r="H78" s="76">
        <f>VLOOKUP(D78,Driver!$D$4:$AC$78,15,0)</f>
        <v>1</v>
      </c>
      <c r="I78" s="76">
        <f>VLOOKUP(D78,Driver!$D$4:$AC$78,16,0)</f>
        <v>40</v>
      </c>
      <c r="J78" s="76">
        <f>VLOOKUP(D78,Driver!$D$4:$AC$78,17,0)</f>
        <v>1</v>
      </c>
      <c r="K78" s="76">
        <f>VLOOKUP(D78,Driver!$D$4:$AC$78,18,0)</f>
        <v>36</v>
      </c>
      <c r="L78" s="76">
        <f>VLOOKUP(D78,Driver!$D$4:$AC$78,19,0)</f>
        <v>0</v>
      </c>
      <c r="M78" s="76">
        <f>VLOOKUP(D78,Driver!$D$4:$AC$78,20,0)</f>
        <v>0</v>
      </c>
      <c r="N78" s="76">
        <f>VLOOKUP(D78,Driver!$D$4:$AC$78,21,0)</f>
        <v>1</v>
      </c>
      <c r="O78" s="76">
        <f>VLOOKUP(D78,Driver!$D$4:$AC$78,22,0)</f>
        <v>16</v>
      </c>
      <c r="P78" s="76">
        <f>VLOOKUP(D78,Driver!$D$4:$AC$78,23,0)</f>
        <v>1</v>
      </c>
      <c r="Q78" s="76">
        <f>VLOOKUP(D78,Driver!$D$4:$AC$78,24,0)</f>
        <v>20</v>
      </c>
      <c r="R78" s="76">
        <f>VLOOKUP(D78,Driver!$D$4:$AC$78,25,0)</f>
        <v>1</v>
      </c>
      <c r="S78" s="76">
        <f>VLOOKUP(D78,Driver!$D$4:$AC$78,26,0)</f>
        <v>17</v>
      </c>
      <c r="T78" s="29">
        <f t="shared" si="7"/>
        <v>6.1574074074074073E-2</v>
      </c>
      <c r="U78" s="29">
        <f t="shared" si="13"/>
        <v>7.166666666666667E-2</v>
      </c>
      <c r="V78" s="31">
        <f t="shared" si="8"/>
        <v>0</v>
      </c>
      <c r="W78" s="29" t="e">
        <f t="shared" si="9"/>
        <v>#REF!</v>
      </c>
      <c r="X78" s="29" t="e">
        <f t="shared" si="10"/>
        <v>#REF!</v>
      </c>
      <c r="Y78" s="29" t="e">
        <f t="shared" si="11"/>
        <v>#REF!</v>
      </c>
      <c r="Z78" s="7" t="e">
        <f t="shared" si="12"/>
        <v>#REF!</v>
      </c>
      <c r="AA78" s="1" t="e">
        <f>VLOOKUP(C78,'Calculo Demanda'!#REF!,2,0)</f>
        <v>#REF!</v>
      </c>
    </row>
  </sheetData>
  <autoFilter ref="B3:Z78"/>
  <mergeCells count="7">
    <mergeCell ref="F1:K1"/>
    <mergeCell ref="L1:M2"/>
    <mergeCell ref="N1:S1"/>
    <mergeCell ref="H2:I2"/>
    <mergeCell ref="J2:K2"/>
    <mergeCell ref="P2:Q2"/>
    <mergeCell ref="R2:S2"/>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Capacidad </vt:lpstr>
      <vt:lpstr>Demanda Anual</vt:lpstr>
      <vt:lpstr>Calculo Demanda</vt:lpstr>
      <vt:lpstr>Sector Maquina</vt:lpstr>
      <vt:lpstr>Matriz Tiempos</vt:lpstr>
      <vt:lpstr>Asignacion Maquina</vt:lpstr>
      <vt:lpstr>Calculos</vt:lpstr>
      <vt:lpstr>Driver</vt:lpstr>
      <vt:lpstr>Tiempo De Inspeccion</vt:lpstr>
    </vt:vector>
  </TitlesOfParts>
  <Company>Flex</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Brandon Ramirez</dc:creator>
  <cp:lastModifiedBy>Leonardo De</cp:lastModifiedBy>
  <cp:lastPrinted>2020-06-09T17:44:08Z</cp:lastPrinted>
  <dcterms:created xsi:type="dcterms:W3CDTF">2020-04-16T16:45:37Z</dcterms:created>
  <dcterms:modified xsi:type="dcterms:W3CDTF">2020-07-24T15:04:45Z</dcterms:modified>
</cp:coreProperties>
</file>